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C3F55046-8897-47EB-B656-20CDA50D44F5}" xr6:coauthVersionLast="47" xr6:coauthVersionMax="47" xr10:uidLastSave="{00000000-0000-0000-0000-000000000000}"/>
  <bookViews>
    <workbookView xWindow="0" yWindow="0" windowWidth="11760" windowHeight="12240" firstSheet="2" activeTab="2" xr2:uid="{A0CBBA81-48E5-4BD1-AC11-1FDD5B6C257A}"/>
  </bookViews>
  <sheets>
    <sheet name="Reporte de Ventas - Julio 2026" sheetId="1" r:id="rId1"/>
    <sheet name="Control de Gastos por Categoría" sheetId="2" r:id="rId2"/>
    <sheet name="Nómina de Empleados - Julio 2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21" i="2"/>
  <c r="B20" i="2"/>
  <c r="B19" i="2"/>
  <c r="B18" i="2"/>
  <c r="B21" i="1"/>
  <c r="B22" i="1"/>
  <c r="B20" i="1"/>
</calcChain>
</file>

<file path=xl/sharedStrings.xml><?xml version="1.0" encoding="utf-8"?>
<sst xmlns="http://schemas.openxmlformats.org/spreadsheetml/2006/main" count="116" uniqueCount="69">
  <si>
    <t>Reporte de Ventas - Julio 2026</t>
  </si>
  <si>
    <t>A</t>
  </si>
  <si>
    <t>B</t>
  </si>
  <si>
    <t>C</t>
  </si>
  <si>
    <t>D</t>
  </si>
  <si>
    <t>Fecha</t>
  </si>
  <si>
    <t xml:space="preserve">Vendedor </t>
  </si>
  <si>
    <t>Producto</t>
  </si>
  <si>
    <t xml:space="preserve">Venta </t>
  </si>
  <si>
    <t>Edwin Villar</t>
  </si>
  <si>
    <t>Carlos Martinez</t>
  </si>
  <si>
    <t>Auriculares</t>
  </si>
  <si>
    <t>Camiseta</t>
  </si>
  <si>
    <t>Pelota</t>
  </si>
  <si>
    <t>Cable USB</t>
  </si>
  <si>
    <t xml:space="preserve">Jeans </t>
  </si>
  <si>
    <t>Libro SQL</t>
  </si>
  <si>
    <t>Cargador</t>
  </si>
  <si>
    <t xml:space="preserve">Auriculares </t>
  </si>
  <si>
    <t>Vendedor</t>
  </si>
  <si>
    <t>Total Ventas</t>
  </si>
  <si>
    <t xml:space="preserve">Edwin Villar </t>
  </si>
  <si>
    <t xml:space="preserve">Carlos Martinez </t>
  </si>
  <si>
    <t>=SUMIF(donde buscar, "qué buscar", qué sumar)</t>
  </si>
  <si>
    <t>$B$2:$B$11    → busca en la columna Vendedor</t>
  </si>
  <si>
    <t>Edwin Villar → busca ese nombre específico</t>
  </si>
  <si>
    <t>$D$2:$D$11    → suma las ventas de ese vendedor</t>
  </si>
  <si>
    <t>¿Cómo funciona SUMIF?</t>
  </si>
  <si>
    <t>Ana Lopez</t>
  </si>
  <si>
    <t xml:space="preserve">Ana Lopez </t>
  </si>
  <si>
    <t>Control de Gastos - Julio 2026</t>
  </si>
  <si>
    <t>Categoria</t>
  </si>
  <si>
    <t>Descripcion</t>
  </si>
  <si>
    <t>Monto</t>
  </si>
  <si>
    <t>Alimentacion</t>
  </si>
  <si>
    <t>Transporte</t>
  </si>
  <si>
    <t>Salud</t>
  </si>
  <si>
    <t>Entretenimiento</t>
  </si>
  <si>
    <t>Supermercado</t>
  </si>
  <si>
    <t>Gasolina</t>
  </si>
  <si>
    <t>Medicamentos</t>
  </si>
  <si>
    <t>Restaurante</t>
  </si>
  <si>
    <t>Netflix</t>
  </si>
  <si>
    <t>Uber</t>
  </si>
  <si>
    <t>Doctor</t>
  </si>
  <si>
    <t>Cine</t>
  </si>
  <si>
    <t xml:space="preserve">Categoria </t>
  </si>
  <si>
    <t>Nómina de Empleados - Julio 2026</t>
  </si>
  <si>
    <t xml:space="preserve">A  </t>
  </si>
  <si>
    <t>Empleado</t>
  </si>
  <si>
    <t>Departamento</t>
  </si>
  <si>
    <t>Salario</t>
  </si>
  <si>
    <t>Bono</t>
  </si>
  <si>
    <t>Roberto Sanchez</t>
  </si>
  <si>
    <t>Lucia Perez</t>
  </si>
  <si>
    <t>Miguel Torres</t>
  </si>
  <si>
    <t>Gabriela Reyes</t>
  </si>
  <si>
    <t>Fernando Castro</t>
  </si>
  <si>
    <t>Valentina Ruiz</t>
  </si>
  <si>
    <t>Diego Morales</t>
  </si>
  <si>
    <t>Camila Vargas</t>
  </si>
  <si>
    <t>Andres Mendoza</t>
  </si>
  <si>
    <t xml:space="preserve">Natalia Flores </t>
  </si>
  <si>
    <t>Tecnologia</t>
  </si>
  <si>
    <t>Ventas</t>
  </si>
  <si>
    <t>Marketing</t>
  </si>
  <si>
    <t>Contabilidad</t>
  </si>
  <si>
    <t xml:space="preserve">Departamento </t>
  </si>
  <si>
    <t xml:space="preserve">Bono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</si>
</sst>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43" fontId="0" fillId="0" borderId="1" xfId="1" applyFont="1" applyBorder="1"/>
    <xf numFmtId="164" fontId="0" fillId="0" borderId="1" xfId="0" applyNumberFormat="1" applyBorder="1" applyAlignment="1">
      <alignment horizontal="left"/>
    </xf>
    <xf numFmtId="43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/>
    <xf numFmtId="164" fontId="0" fillId="0" borderId="1" xfId="0" applyNumberFormat="1" applyBorder="1"/>
    <xf numFmtId="0" fontId="2" fillId="2" borderId="1" xfId="0" applyFont="1" applyFill="1" applyBorder="1"/>
    <xf numFmtId="0" fontId="0" fillId="0" borderId="1" xfId="0" applyFont="1" applyBorder="1"/>
    <xf numFmtId="0" fontId="6" fillId="0" borderId="1" xfId="0" applyFont="1" applyBorder="1"/>
    <xf numFmtId="0" fontId="2" fillId="3" borderId="1" xfId="0" applyFont="1" applyFill="1" applyBorder="1"/>
    <xf numFmtId="0" fontId="4" fillId="0" borderId="0" xfId="0" applyFont="1" applyAlignment="1"/>
    <xf numFmtId="0" fontId="2" fillId="4" borderId="1" xfId="0" applyFont="1" applyFill="1" applyBorder="1"/>
    <xf numFmtId="0" fontId="7" fillId="0" borderId="1" xfId="0" applyFont="1" applyBorder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Vendedor - Julio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'Reporte de Ventas - Julio 2026'!$B$19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'Reporte de Ventas - Julio 2026'!$A$20:$A$22</c:f>
              <c:strCache>
                <c:ptCount val="3"/>
                <c:pt idx="0">
                  <c:v>Edwin Villar </c:v>
                </c:pt>
                <c:pt idx="1">
                  <c:v>Ana Lopez </c:v>
                </c:pt>
                <c:pt idx="2">
                  <c:v>Carlos Martinez </c:v>
                </c:pt>
              </c:strCache>
            </c:strRef>
          </c:cat>
          <c:val>
            <c:numRef>
              <c:f>'Reporte de Ventas - Julio 2026'!$B$20:$B$22</c:f>
              <c:numCache>
                <c:formatCode>_(* #,##0.00_);_(* \(#,##0.00\);_(* "-"??_);_(@_)</c:formatCode>
                <c:ptCount val="3"/>
                <c:pt idx="0">
                  <c:v>130.47</c:v>
                </c:pt>
                <c:pt idx="1">
                  <c:v>63.99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F-4589-9E67-C8E790D9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947487"/>
        <c:axId val="2030947967"/>
      </c:barChart>
      <c:catAx>
        <c:axId val="203094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47967"/>
        <c:crosses val="autoZero"/>
        <c:auto val="1"/>
        <c:lblAlgn val="ctr"/>
        <c:lblOffset val="100"/>
        <c:noMultiLvlLbl val="0"/>
      </c:catAx>
      <c:valAx>
        <c:axId val="203094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4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por Categoría - Julio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 de Gastos por Categoría'!$B$17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 de Gastos por Categoría'!$A$18:$A$21</c:f>
              <c:strCache>
                <c:ptCount val="4"/>
                <c:pt idx="0">
                  <c:v>Alimentacion</c:v>
                </c:pt>
                <c:pt idx="1">
                  <c:v>Transporte</c:v>
                </c:pt>
                <c:pt idx="2">
                  <c:v>Salud</c:v>
                </c:pt>
                <c:pt idx="3">
                  <c:v>Entretenimiento</c:v>
                </c:pt>
              </c:strCache>
            </c:strRef>
          </c:cat>
          <c:val>
            <c:numRef>
              <c:f>'Control de Gastos por Categoría'!$B$18:$B$21</c:f>
              <c:numCache>
                <c:formatCode>General</c:formatCode>
                <c:ptCount val="4"/>
                <c:pt idx="0">
                  <c:v>6950</c:v>
                </c:pt>
                <c:pt idx="1">
                  <c:v>2750</c:v>
                </c:pt>
                <c:pt idx="2">
                  <c:v>2300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0-4893-BC2C-C131F0CCE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718239"/>
        <c:axId val="937718719"/>
      </c:barChart>
      <c:catAx>
        <c:axId val="9377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18719"/>
        <c:crosses val="autoZero"/>
        <c:auto val="1"/>
        <c:lblAlgn val="ctr"/>
        <c:lblOffset val="100"/>
        <c:noMultiLvlLbl val="0"/>
      </c:catAx>
      <c:valAx>
        <c:axId val="93771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1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Nómina de Empleados - Julio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'Nómina de Empleados - Julio 202'!$B$18</c:f>
              <c:strCache>
                <c:ptCount val="1"/>
                <c:pt idx="0">
                  <c:v>Bono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'Nómina de Empleados - Julio 202'!$A$19:$A$22</c:f>
              <c:strCache>
                <c:ptCount val="4"/>
                <c:pt idx="0">
                  <c:v>Tecnologia</c:v>
                </c:pt>
                <c:pt idx="1">
                  <c:v>Ventas</c:v>
                </c:pt>
                <c:pt idx="2">
                  <c:v>Marketing</c:v>
                </c:pt>
                <c:pt idx="3">
                  <c:v>Contabilidad</c:v>
                </c:pt>
              </c:strCache>
            </c:strRef>
          </c:cat>
          <c:val>
            <c:numRef>
              <c:f>'Nómina de Empleados - Julio 202'!$B$19:$B$22</c:f>
              <c:numCache>
                <c:formatCode>General</c:formatCode>
                <c:ptCount val="4"/>
                <c:pt idx="0">
                  <c:v>18000</c:v>
                </c:pt>
                <c:pt idx="1">
                  <c:v>6500</c:v>
                </c:pt>
                <c:pt idx="2">
                  <c:v>8000</c:v>
                </c:pt>
                <c:pt idx="3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9-4717-99B0-845AA1B5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2346191"/>
        <c:axId val="1072341871"/>
      </c:barChart>
      <c:catAx>
        <c:axId val="10723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41871"/>
        <c:crosses val="autoZero"/>
        <c:auto val="1"/>
        <c:lblAlgn val="ctr"/>
        <c:lblOffset val="100"/>
        <c:noMultiLvlLbl val="0"/>
      </c:catAx>
      <c:valAx>
        <c:axId val="10723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4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12</xdr:row>
      <xdr:rowOff>133350</xdr:rowOff>
    </xdr:from>
    <xdr:to>
      <xdr:col>11</xdr:col>
      <xdr:colOff>601980</xdr:colOff>
      <xdr:row>27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84656-2611-BD41-4CFC-07DD31A0E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3810</xdr:rowOff>
    </xdr:from>
    <xdr:to>
      <xdr:col>11</xdr:col>
      <xdr:colOff>533400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10790-C3D2-4F04-53D1-57657D2A1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4</xdr:row>
      <xdr:rowOff>15240</xdr:rowOff>
    </xdr:from>
    <xdr:to>
      <xdr:col>11</xdr:col>
      <xdr:colOff>160020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B876B-1BE3-8343-0254-97E877CF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4080-201F-47D0-8734-FC77CD753A9C}">
  <sheetPr>
    <tabColor rgb="FF00B050"/>
  </sheetPr>
  <dimension ref="A1:J22"/>
  <sheetViews>
    <sheetView workbookViewId="0">
      <selection activeCell="D17" sqref="D17"/>
    </sheetView>
  </sheetViews>
  <sheetFormatPr defaultRowHeight="14.4" x14ac:dyDescent="0.3"/>
  <cols>
    <col min="1" max="1" width="14.33203125" bestFit="1" customWidth="1"/>
    <col min="2" max="2" width="14.109375" bestFit="1" customWidth="1"/>
    <col min="3" max="3" width="10.44140625" bestFit="1" customWidth="1"/>
  </cols>
  <sheetData>
    <row r="1" spans="1:10" ht="18" x14ac:dyDescent="0.35">
      <c r="A1" s="6" t="s">
        <v>0</v>
      </c>
      <c r="B1" s="6"/>
      <c r="C1" s="6"/>
      <c r="D1" s="6"/>
    </row>
    <row r="3" spans="1:10" x14ac:dyDescent="0.3">
      <c r="A3" s="13" t="s">
        <v>1</v>
      </c>
      <c r="B3" s="13" t="s">
        <v>2</v>
      </c>
      <c r="C3" s="13" t="s">
        <v>3</v>
      </c>
      <c r="D3" s="13" t="s">
        <v>4</v>
      </c>
    </row>
    <row r="4" spans="1:10" x14ac:dyDescent="0.3">
      <c r="A4" s="14" t="s">
        <v>5</v>
      </c>
      <c r="B4" s="14" t="s">
        <v>6</v>
      </c>
      <c r="C4" s="14" t="s">
        <v>7</v>
      </c>
      <c r="D4" s="14" t="s">
        <v>8</v>
      </c>
    </row>
    <row r="5" spans="1:10" x14ac:dyDescent="0.3">
      <c r="A5" s="4">
        <v>46204</v>
      </c>
      <c r="B5" s="2" t="s">
        <v>9</v>
      </c>
      <c r="C5" s="2" t="s">
        <v>11</v>
      </c>
      <c r="D5" s="3">
        <v>45.99</v>
      </c>
      <c r="G5" s="1" t="s">
        <v>27</v>
      </c>
      <c r="H5" s="1"/>
      <c r="I5" s="1"/>
      <c r="J5" s="1"/>
    </row>
    <row r="6" spans="1:10" x14ac:dyDescent="0.3">
      <c r="A6" s="4">
        <v>46205</v>
      </c>
      <c r="B6" s="2" t="s">
        <v>28</v>
      </c>
      <c r="C6" s="2" t="s">
        <v>12</v>
      </c>
      <c r="D6" s="3">
        <v>12</v>
      </c>
      <c r="G6" s="1"/>
      <c r="H6" s="1"/>
      <c r="I6" s="1"/>
      <c r="J6" s="1"/>
    </row>
    <row r="7" spans="1:10" x14ac:dyDescent="0.3">
      <c r="A7" s="4">
        <v>46206</v>
      </c>
      <c r="B7" s="2" t="s">
        <v>10</v>
      </c>
      <c r="C7" s="2" t="s">
        <v>13</v>
      </c>
      <c r="D7" s="3">
        <v>22</v>
      </c>
      <c r="G7" s="1" t="s">
        <v>23</v>
      </c>
      <c r="H7" s="1"/>
      <c r="I7" s="1"/>
      <c r="J7" s="1"/>
    </row>
    <row r="8" spans="1:10" x14ac:dyDescent="0.3">
      <c r="A8" s="4">
        <v>46208</v>
      </c>
      <c r="B8" s="2" t="s">
        <v>9</v>
      </c>
      <c r="C8" s="2" t="s">
        <v>14</v>
      </c>
      <c r="D8" s="3">
        <v>8.5</v>
      </c>
      <c r="G8" s="1"/>
      <c r="H8" s="1"/>
      <c r="I8" s="1"/>
      <c r="J8" s="1"/>
    </row>
    <row r="9" spans="1:10" x14ac:dyDescent="0.3">
      <c r="A9" s="4">
        <v>46210</v>
      </c>
      <c r="B9" s="2" t="s">
        <v>28</v>
      </c>
      <c r="C9" s="2" t="s">
        <v>15</v>
      </c>
      <c r="D9" s="3">
        <v>39.99</v>
      </c>
      <c r="G9" s="1" t="s">
        <v>24</v>
      </c>
    </row>
    <row r="10" spans="1:10" x14ac:dyDescent="0.3">
      <c r="A10" s="4">
        <v>46211</v>
      </c>
      <c r="B10" s="2" t="s">
        <v>10</v>
      </c>
      <c r="C10" s="2" t="s">
        <v>16</v>
      </c>
      <c r="D10" s="3">
        <v>31</v>
      </c>
      <c r="G10" s="1" t="s">
        <v>25</v>
      </c>
    </row>
    <row r="11" spans="1:10" x14ac:dyDescent="0.3">
      <c r="A11" s="4">
        <v>46213</v>
      </c>
      <c r="B11" s="2" t="s">
        <v>9</v>
      </c>
      <c r="C11" s="2" t="s">
        <v>17</v>
      </c>
      <c r="D11" s="3">
        <v>29.99</v>
      </c>
      <c r="G11" s="1" t="s">
        <v>26</v>
      </c>
    </row>
    <row r="12" spans="1:10" x14ac:dyDescent="0.3">
      <c r="A12" s="4">
        <v>46215</v>
      </c>
      <c r="B12" s="2" t="s">
        <v>28</v>
      </c>
      <c r="C12" s="2" t="s">
        <v>12</v>
      </c>
      <c r="D12" s="3">
        <v>12</v>
      </c>
    </row>
    <row r="13" spans="1:10" x14ac:dyDescent="0.3">
      <c r="A13" s="4">
        <v>46218</v>
      </c>
      <c r="B13" s="2" t="s">
        <v>10</v>
      </c>
      <c r="C13" s="2" t="s">
        <v>13</v>
      </c>
      <c r="D13" s="3">
        <v>22</v>
      </c>
    </row>
    <row r="14" spans="1:10" x14ac:dyDescent="0.3">
      <c r="A14" s="4">
        <v>46221</v>
      </c>
      <c r="B14" s="2" t="s">
        <v>9</v>
      </c>
      <c r="C14" s="2" t="s">
        <v>18</v>
      </c>
      <c r="D14" s="3">
        <v>45.99</v>
      </c>
    </row>
    <row r="16" spans="1:10" ht="18" x14ac:dyDescent="0.35">
      <c r="A16" s="6" t="s">
        <v>0</v>
      </c>
      <c r="B16" s="6"/>
      <c r="C16" s="6"/>
    </row>
    <row r="18" spans="1:4" x14ac:dyDescent="0.3">
      <c r="A18" s="13" t="s">
        <v>1</v>
      </c>
      <c r="B18" s="13" t="s">
        <v>2</v>
      </c>
      <c r="D18" s="5"/>
    </row>
    <row r="19" spans="1:4" x14ac:dyDescent="0.3">
      <c r="A19" s="14" t="s">
        <v>19</v>
      </c>
      <c r="B19" s="14" t="s">
        <v>20</v>
      </c>
    </row>
    <row r="20" spans="1:4" x14ac:dyDescent="0.3">
      <c r="A20" s="2" t="s">
        <v>21</v>
      </c>
      <c r="B20" s="3">
        <f>SUMIF($B$5:$B$14,"Edwin Villar",$D$5:$D$14)</f>
        <v>130.47</v>
      </c>
    </row>
    <row r="21" spans="1:4" x14ac:dyDescent="0.3">
      <c r="A21" s="2" t="s">
        <v>29</v>
      </c>
      <c r="B21" s="3">
        <f>SUMIF($B$5:$B$14,"Ana Lopez",$D$5:$D$14)</f>
        <v>63.99</v>
      </c>
    </row>
    <row r="22" spans="1:4" x14ac:dyDescent="0.3">
      <c r="A22" s="2" t="s">
        <v>22</v>
      </c>
      <c r="B22" s="3">
        <f>SUMIF($B$5:$B$14,"Carlos Martinez",$D$5:$D$14)</f>
        <v>75</v>
      </c>
    </row>
  </sheetData>
  <mergeCells count="2">
    <mergeCell ref="A1:D1"/>
    <mergeCell ref="A16:C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5FE9-A3F8-4746-9F14-9B3D40D1BE77}">
  <sheetPr>
    <tabColor rgb="FF00B0F0"/>
  </sheetPr>
  <dimension ref="A1:D21"/>
  <sheetViews>
    <sheetView workbookViewId="0">
      <selection activeCell="F22" sqref="F22"/>
    </sheetView>
  </sheetViews>
  <sheetFormatPr defaultRowHeight="14.4" x14ac:dyDescent="0.3"/>
  <cols>
    <col min="1" max="2" width="14.33203125" bestFit="1" customWidth="1"/>
    <col min="3" max="3" width="13.21875" bestFit="1" customWidth="1"/>
    <col min="4" max="4" width="9.33203125" bestFit="1" customWidth="1"/>
  </cols>
  <sheetData>
    <row r="1" spans="1:4" ht="15.6" x14ac:dyDescent="0.3">
      <c r="A1" s="7" t="s">
        <v>30</v>
      </c>
      <c r="B1" s="7"/>
      <c r="C1" s="7"/>
      <c r="D1" s="7"/>
    </row>
    <row r="3" spans="1:4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3">
      <c r="A4" s="11" t="s">
        <v>5</v>
      </c>
      <c r="B4" s="11" t="s">
        <v>31</v>
      </c>
      <c r="C4" s="11" t="s">
        <v>32</v>
      </c>
      <c r="D4" s="11" t="s">
        <v>33</v>
      </c>
    </row>
    <row r="5" spans="1:4" x14ac:dyDescent="0.3">
      <c r="A5" s="10">
        <v>46204</v>
      </c>
      <c r="B5" s="2" t="s">
        <v>34</v>
      </c>
      <c r="C5" s="2" t="s">
        <v>38</v>
      </c>
      <c r="D5" s="3">
        <v>3500</v>
      </c>
    </row>
    <row r="6" spans="1:4" x14ac:dyDescent="0.3">
      <c r="A6" s="10">
        <v>46205</v>
      </c>
      <c r="B6" s="2" t="s">
        <v>35</v>
      </c>
      <c r="C6" s="2" t="s">
        <v>39</v>
      </c>
      <c r="D6" s="3">
        <v>1200</v>
      </c>
    </row>
    <row r="7" spans="1:4" x14ac:dyDescent="0.3">
      <c r="A7" s="10">
        <v>46208</v>
      </c>
      <c r="B7" s="2" t="s">
        <v>36</v>
      </c>
      <c r="C7" s="2" t="s">
        <v>40</v>
      </c>
      <c r="D7" s="3">
        <v>800</v>
      </c>
    </row>
    <row r="8" spans="1:4" x14ac:dyDescent="0.3">
      <c r="A8" s="10">
        <v>46210</v>
      </c>
      <c r="B8" s="2" t="s">
        <v>34</v>
      </c>
      <c r="C8" s="2" t="s">
        <v>41</v>
      </c>
      <c r="D8" s="3">
        <v>650</v>
      </c>
    </row>
    <row r="9" spans="1:4" x14ac:dyDescent="0.3">
      <c r="A9" s="10">
        <v>46213</v>
      </c>
      <c r="B9" s="2" t="s">
        <v>37</v>
      </c>
      <c r="C9" s="2" t="s">
        <v>42</v>
      </c>
      <c r="D9" s="3">
        <v>400</v>
      </c>
    </row>
    <row r="10" spans="1:4" x14ac:dyDescent="0.3">
      <c r="A10" s="10">
        <v>46215</v>
      </c>
      <c r="B10" s="2" t="s">
        <v>35</v>
      </c>
      <c r="C10" s="2" t="s">
        <v>43</v>
      </c>
      <c r="D10" s="3">
        <v>350</v>
      </c>
    </row>
    <row r="11" spans="1:4" x14ac:dyDescent="0.3">
      <c r="A11" s="10">
        <v>46218</v>
      </c>
      <c r="B11" s="2" t="s">
        <v>34</v>
      </c>
      <c r="C11" s="2" t="s">
        <v>38</v>
      </c>
      <c r="D11" s="3">
        <v>2800</v>
      </c>
    </row>
    <row r="12" spans="1:4" x14ac:dyDescent="0.3">
      <c r="A12" s="10">
        <v>46221</v>
      </c>
      <c r="B12" s="2" t="s">
        <v>36</v>
      </c>
      <c r="C12" s="2" t="s">
        <v>44</v>
      </c>
      <c r="D12" s="3">
        <v>1500</v>
      </c>
    </row>
    <row r="13" spans="1:4" x14ac:dyDescent="0.3">
      <c r="A13" s="10">
        <v>46223</v>
      </c>
      <c r="B13" s="2" t="s">
        <v>37</v>
      </c>
      <c r="C13" s="2" t="s">
        <v>45</v>
      </c>
      <c r="D13" s="3">
        <v>500</v>
      </c>
    </row>
    <row r="14" spans="1:4" x14ac:dyDescent="0.3">
      <c r="A14" s="10">
        <v>46228</v>
      </c>
      <c r="B14" s="2" t="s">
        <v>35</v>
      </c>
      <c r="C14" s="2" t="s">
        <v>39</v>
      </c>
      <c r="D14" s="3">
        <v>1200</v>
      </c>
    </row>
    <row r="16" spans="1:4" x14ac:dyDescent="0.3">
      <c r="A16" s="8" t="s">
        <v>1</v>
      </c>
      <c r="B16" s="8" t="s">
        <v>2</v>
      </c>
    </row>
    <row r="17" spans="1:2" x14ac:dyDescent="0.3">
      <c r="A17" s="11" t="s">
        <v>46</v>
      </c>
      <c r="B17" s="11" t="s">
        <v>33</v>
      </c>
    </row>
    <row r="18" spans="1:2" x14ac:dyDescent="0.3">
      <c r="A18" s="12" t="s">
        <v>34</v>
      </c>
      <c r="B18" s="2">
        <f>SUMIF($B$5:$B$14,"Alimentacion",$D$5:$D$14)</f>
        <v>6950</v>
      </c>
    </row>
    <row r="19" spans="1:2" x14ac:dyDescent="0.3">
      <c r="A19" s="12" t="s">
        <v>35</v>
      </c>
      <c r="B19" s="2">
        <f>SUMIF($B$5:$B$14,"Transporte",$D$5:$D$14)</f>
        <v>2750</v>
      </c>
    </row>
    <row r="20" spans="1:2" x14ac:dyDescent="0.3">
      <c r="A20" s="12" t="s">
        <v>36</v>
      </c>
      <c r="B20" s="2">
        <f>SUMIF($B$5:$B$14,"Salud",$D$5:$D$14)</f>
        <v>2300</v>
      </c>
    </row>
    <row r="21" spans="1:2" x14ac:dyDescent="0.3">
      <c r="A21" s="12" t="s">
        <v>37</v>
      </c>
      <c r="B21" s="2">
        <f>SUMIF($B$5:$B$14,"Entretenimiento",$D$5:$D$14)</f>
        <v>900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5D06-312A-4F6F-A2EA-FF1E49D3BEC7}">
  <sheetPr>
    <tabColor rgb="FF7030A0"/>
  </sheetPr>
  <dimension ref="A1:D22"/>
  <sheetViews>
    <sheetView tabSelected="1" topLeftCell="A4" workbookViewId="0">
      <selection activeCell="H20" sqref="H20"/>
    </sheetView>
  </sheetViews>
  <sheetFormatPr defaultRowHeight="14.4" x14ac:dyDescent="0.3"/>
  <cols>
    <col min="1" max="1" width="14.77734375" bestFit="1" customWidth="1"/>
    <col min="2" max="2" width="12.88671875" bestFit="1" customWidth="1"/>
  </cols>
  <sheetData>
    <row r="1" spans="1:4" ht="15.6" x14ac:dyDescent="0.3">
      <c r="A1" s="15" t="s">
        <v>47</v>
      </c>
      <c r="B1" s="15"/>
      <c r="C1" s="15"/>
      <c r="D1" s="15"/>
    </row>
    <row r="4" spans="1:4" x14ac:dyDescent="0.3">
      <c r="A4" s="17" t="s">
        <v>48</v>
      </c>
      <c r="B4" s="17" t="s">
        <v>2</v>
      </c>
      <c r="C4" s="17" t="s">
        <v>3</v>
      </c>
      <c r="D4" s="17" t="s">
        <v>4</v>
      </c>
    </row>
    <row r="5" spans="1:4" x14ac:dyDescent="0.3">
      <c r="A5" s="16" t="s">
        <v>49</v>
      </c>
      <c r="B5" s="16" t="s">
        <v>50</v>
      </c>
      <c r="C5" s="16" t="s">
        <v>51</v>
      </c>
      <c r="D5" s="16" t="s">
        <v>52</v>
      </c>
    </row>
    <row r="6" spans="1:4" x14ac:dyDescent="0.3">
      <c r="A6" s="2" t="s">
        <v>53</v>
      </c>
      <c r="B6" s="2" t="s">
        <v>63</v>
      </c>
      <c r="C6" s="2">
        <v>45000</v>
      </c>
      <c r="D6" s="2">
        <v>5000</v>
      </c>
    </row>
    <row r="7" spans="1:4" x14ac:dyDescent="0.3">
      <c r="A7" s="2" t="s">
        <v>54</v>
      </c>
      <c r="B7" s="2" t="s">
        <v>64</v>
      </c>
      <c r="C7" s="2">
        <v>32000</v>
      </c>
      <c r="D7" s="2">
        <v>3000</v>
      </c>
    </row>
    <row r="8" spans="1:4" x14ac:dyDescent="0.3">
      <c r="A8" s="2" t="s">
        <v>55</v>
      </c>
      <c r="B8" s="2" t="s">
        <v>65</v>
      </c>
      <c r="C8" s="2">
        <v>29000</v>
      </c>
      <c r="D8" s="2">
        <v>2500</v>
      </c>
    </row>
    <row r="9" spans="1:4" x14ac:dyDescent="0.3">
      <c r="A9" s="2" t="s">
        <v>56</v>
      </c>
      <c r="B9" s="2" t="s">
        <v>63</v>
      </c>
      <c r="C9" s="2">
        <v>52000</v>
      </c>
      <c r="D9" s="2">
        <v>6000</v>
      </c>
    </row>
    <row r="10" spans="1:4" x14ac:dyDescent="0.3">
      <c r="A10" s="2" t="s">
        <v>57</v>
      </c>
      <c r="B10" s="2" t="s">
        <v>66</v>
      </c>
      <c r="C10" s="2">
        <v>41000</v>
      </c>
      <c r="D10" s="2">
        <v>4000</v>
      </c>
    </row>
    <row r="11" spans="1:4" x14ac:dyDescent="0.3">
      <c r="A11" s="2" t="s">
        <v>58</v>
      </c>
      <c r="B11" s="2" t="s">
        <v>64</v>
      </c>
      <c r="C11" s="2">
        <v>35000</v>
      </c>
      <c r="D11" s="2">
        <v>3500</v>
      </c>
    </row>
    <row r="12" spans="1:4" x14ac:dyDescent="0.3">
      <c r="A12" s="2" t="s">
        <v>59</v>
      </c>
      <c r="B12" s="2" t="s">
        <v>65</v>
      </c>
      <c r="C12" s="2">
        <v>29000</v>
      </c>
      <c r="D12" s="2">
        <v>2500</v>
      </c>
    </row>
    <row r="13" spans="1:4" x14ac:dyDescent="0.3">
      <c r="A13" s="2" t="s">
        <v>60</v>
      </c>
      <c r="B13" s="2" t="s">
        <v>63</v>
      </c>
      <c r="C13" s="2">
        <v>60000</v>
      </c>
      <c r="D13" s="2">
        <v>7000</v>
      </c>
    </row>
    <row r="14" spans="1:4" x14ac:dyDescent="0.3">
      <c r="A14" s="2" t="s">
        <v>61</v>
      </c>
      <c r="B14" s="2" t="s">
        <v>66</v>
      </c>
      <c r="C14" s="2">
        <v>43000</v>
      </c>
      <c r="D14" s="2">
        <v>4500</v>
      </c>
    </row>
    <row r="15" spans="1:4" x14ac:dyDescent="0.3">
      <c r="A15" s="2" t="s">
        <v>62</v>
      </c>
      <c r="B15" s="2" t="s">
        <v>65</v>
      </c>
      <c r="C15" s="2">
        <v>31000</v>
      </c>
      <c r="D15" s="2">
        <v>3000</v>
      </c>
    </row>
    <row r="17" spans="1:2" x14ac:dyDescent="0.3">
      <c r="A17" s="18" t="s">
        <v>1</v>
      </c>
      <c r="B17" s="18" t="s">
        <v>2</v>
      </c>
    </row>
    <row r="18" spans="1:2" x14ac:dyDescent="0.3">
      <c r="A18" s="16" t="s">
        <v>67</v>
      </c>
      <c r="B18" s="16" t="s">
        <v>68</v>
      </c>
    </row>
    <row r="19" spans="1:2" x14ac:dyDescent="0.3">
      <c r="A19" s="2" t="s">
        <v>63</v>
      </c>
      <c r="B19" s="2">
        <f>SUMIF($B$6:$B$15,"Tecnologia",$D$6:$D$15)</f>
        <v>18000</v>
      </c>
    </row>
    <row r="20" spans="1:2" x14ac:dyDescent="0.3">
      <c r="A20" s="2" t="s">
        <v>64</v>
      </c>
      <c r="B20" s="2">
        <f>SUMIF($B$6:$B$15,"Ventas",$D$6:$D$15)</f>
        <v>6500</v>
      </c>
    </row>
    <row r="21" spans="1:2" x14ac:dyDescent="0.3">
      <c r="A21" s="2" t="s">
        <v>65</v>
      </c>
      <c r="B21" s="2">
        <f>SUMIF($B$6:$B$15,"Marketing",$D$6:$D$15)</f>
        <v>8000</v>
      </c>
    </row>
    <row r="22" spans="1:2" x14ac:dyDescent="0.3">
      <c r="A22" s="2" t="s">
        <v>66</v>
      </c>
      <c r="B22" s="2">
        <f>SUMIF($B$6:$B$15,"Contabilidad",$D$6:$D$15)</f>
        <v>8500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 de Ventas - Julio 2026</vt:lpstr>
      <vt:lpstr>Control de Gastos por Categoría</vt:lpstr>
      <vt:lpstr>Nómina de Empleados - Julio 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2026-06-10T00:30:19Z</dcterms:created>
  <dcterms:modified xsi:type="dcterms:W3CDTF">2026-06-10T02:19:56Z</dcterms:modified>
</cp:coreProperties>
</file>