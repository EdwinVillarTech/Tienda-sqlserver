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86eecf8daf4f0d/Documents/SQL Server Management Studio 22/Tienda-sqlserver/"/>
    </mc:Choice>
  </mc:AlternateContent>
  <xr:revisionPtr revIDLastSave="3" documentId="8_{0117D12D-110C-4F7C-9A58-AC171003CBCD}" xr6:coauthVersionLast="47" xr6:coauthVersionMax="47" xr10:uidLastSave="{1102C5EB-88EB-45EB-929B-DFA22165951F}"/>
  <bookViews>
    <workbookView xWindow="-108" yWindow="-108" windowWidth="23256" windowHeight="12456" xr2:uid="{78ED0044-83E2-4F2D-B233-224FE08F0E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C5" i="1"/>
  <c r="C6" i="1"/>
  <c r="C7" i="1"/>
  <c r="C8" i="1"/>
  <c r="C10" i="1"/>
  <c r="C11" i="1"/>
  <c r="C12" i="1"/>
  <c r="B19" i="1"/>
  <c r="B17" i="1"/>
  <c r="B16" i="1"/>
  <c r="B15" i="1"/>
  <c r="D12" i="1"/>
  <c r="D11" i="1"/>
  <c r="D10" i="1"/>
  <c r="D9" i="1"/>
  <c r="D8" i="1"/>
  <c r="C9" i="1"/>
  <c r="D5" i="1"/>
  <c r="D6" i="1"/>
  <c r="D7" i="1"/>
</calcChain>
</file>

<file path=xl/sharedStrings.xml><?xml version="1.0" encoding="utf-8"?>
<sst xmlns="http://schemas.openxmlformats.org/spreadsheetml/2006/main" count="26" uniqueCount="24">
  <si>
    <t>REPORTE DE CALIFICACIONES - JUNIO 2026</t>
  </si>
  <si>
    <t>A</t>
  </si>
  <si>
    <t>B</t>
  </si>
  <si>
    <t>C</t>
  </si>
  <si>
    <t>D</t>
  </si>
  <si>
    <t>NOTA</t>
  </si>
  <si>
    <t>RESULTADO</t>
  </si>
  <si>
    <t xml:space="preserve">BECA </t>
  </si>
  <si>
    <t xml:space="preserve">Edwin Villar </t>
  </si>
  <si>
    <t>ESTUDIANTE</t>
  </si>
  <si>
    <t xml:space="preserve">Maria Gonzalez </t>
  </si>
  <si>
    <t>Carlos Martinez</t>
  </si>
  <si>
    <t>Ana Rodriguez</t>
  </si>
  <si>
    <t xml:space="preserve">Luis Hernandez </t>
  </si>
  <si>
    <t>Sofia Lopez</t>
  </si>
  <si>
    <t xml:space="preserve">Pedro Garcia </t>
  </si>
  <si>
    <t xml:space="preserve">Valeria Morales </t>
  </si>
  <si>
    <t xml:space="preserve">Nota Mas Alta </t>
  </si>
  <si>
    <t>Nota Mas Baja</t>
  </si>
  <si>
    <t>Promedio</t>
  </si>
  <si>
    <t>Total Aprobados</t>
  </si>
  <si>
    <t xml:space="preserve">Total Reprobados </t>
  </si>
  <si>
    <r>
      <t>¿Qué es IF?</t>
    </r>
    <r>
      <rPr>
        <sz val="11"/>
        <color theme="1"/>
        <rFont val="Calibri"/>
        <family val="2"/>
        <scheme val="minor"/>
      </rPr>
      <t xml:space="preserve"> Es una fórmula que toma una </t>
    </r>
    <r>
      <rPr>
        <b/>
        <sz val="11"/>
        <color theme="1"/>
        <rFont val="Calibri"/>
        <family val="2"/>
        <scheme val="minor"/>
      </rPr>
      <t>decisión</t>
    </r>
    <r>
      <rPr>
        <sz val="11"/>
        <color theme="1"/>
        <rFont val="Calibri"/>
        <family val="2"/>
        <scheme val="minor"/>
      </rPr>
      <t xml:space="preserve"> basada en una condición.</t>
    </r>
  </si>
  <si>
    <t>Si esto es verdad → haz esto, sino → haz esto 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</si>
</sst>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2" fillId="0" borderId="1" xfId="0" applyFont="1" applyBorder="1"/>
    <xf numFmtId="0" fontId="1" fillId="3" borderId="1" xfId="0" applyFont="1" applyFill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Aprobados</a:t>
            </a:r>
            <a:r>
              <a:rPr lang="en-US" baseline="0"/>
              <a:t> Vs Reprobados - Junio 2026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849318095182596E-2"/>
          <c:y val="0.225703564727955"/>
          <c:w val="0.90623147129735515"/>
          <c:h val="0.6229626784456820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4C-47A3-8806-6E27B23191C1}"/>
              </c:ext>
            </c:extLst>
          </c:dPt>
          <c:cat>
            <c:strRef>
              <c:f>(Sheet1!$A$18,Sheet1!$A$19)</c:f>
              <c:strCache>
                <c:ptCount val="2"/>
                <c:pt idx="0">
                  <c:v>Total Aprobados</c:v>
                </c:pt>
                <c:pt idx="1">
                  <c:v>Total Reprobados </c:v>
                </c:pt>
              </c:strCache>
            </c:strRef>
          </c:cat>
          <c:val>
            <c:numRef>
              <c:f>Sheet1!$B$18:$B$19</c:f>
              <c:numCache>
                <c:formatCode>General</c:formatCode>
                <c:ptCount val="2"/>
                <c:pt idx="0">
                  <c:v>5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4C-47A3-8806-6E27B2319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2932096"/>
        <c:axId val="1792929216"/>
      </c:barChart>
      <c:catAx>
        <c:axId val="179293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929216"/>
        <c:crosses val="autoZero"/>
        <c:auto val="1"/>
        <c:lblAlgn val="ctr"/>
        <c:lblOffset val="100"/>
        <c:noMultiLvlLbl val="0"/>
      </c:catAx>
      <c:valAx>
        <c:axId val="179292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93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2</xdr:row>
      <xdr:rowOff>0</xdr:rowOff>
    </xdr:from>
    <xdr:to>
      <xdr:col>10</xdr:col>
      <xdr:colOff>556260</xdr:colOff>
      <xdr:row>13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260436-2719-2BEF-8D9A-3FDC44C17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1B607-BD9C-4AC8-8A65-0A93959285B3}">
  <dimension ref="A2:L19"/>
  <sheetViews>
    <sheetView tabSelected="1" workbookViewId="0">
      <selection activeCell="K21" sqref="K21"/>
    </sheetView>
  </sheetViews>
  <sheetFormatPr defaultRowHeight="14.4" x14ac:dyDescent="0.3"/>
  <cols>
    <col min="1" max="1" width="16" bestFit="1" customWidth="1"/>
    <col min="2" max="2" width="7" bestFit="1" customWidth="1"/>
    <col min="3" max="3" width="10.88671875" bestFit="1" customWidth="1"/>
    <col min="4" max="4" width="10.6640625" bestFit="1" customWidth="1"/>
  </cols>
  <sheetData>
    <row r="2" spans="1:12" x14ac:dyDescent="0.3">
      <c r="A2" s="6" t="s">
        <v>0</v>
      </c>
      <c r="B2" s="6"/>
      <c r="C2" s="6"/>
      <c r="D2" s="6"/>
      <c r="E2" s="6"/>
      <c r="F2" s="6"/>
    </row>
    <row r="3" spans="1:12" x14ac:dyDescent="0.3">
      <c r="A3" s="3" t="s">
        <v>1</v>
      </c>
      <c r="B3" s="3" t="s">
        <v>2</v>
      </c>
      <c r="C3" s="3" t="s">
        <v>3</v>
      </c>
      <c r="D3" s="3" t="s">
        <v>4</v>
      </c>
    </row>
    <row r="4" spans="1:12" x14ac:dyDescent="0.3">
      <c r="A4" s="1" t="s">
        <v>9</v>
      </c>
      <c r="B4" s="1" t="s">
        <v>5</v>
      </c>
      <c r="C4" s="1" t="s">
        <v>6</v>
      </c>
      <c r="D4" s="1" t="s">
        <v>7</v>
      </c>
    </row>
    <row r="5" spans="1:12" x14ac:dyDescent="0.3">
      <c r="A5" s="2" t="s">
        <v>8</v>
      </c>
      <c r="B5" s="2">
        <v>75</v>
      </c>
      <c r="C5" s="2" t="str">
        <f t="shared" ref="C5:C12" si="0">IF(B5&gt;=60, "APROBADO","REPROBADO")</f>
        <v>APROBADO</v>
      </c>
      <c r="D5" s="2" t="str">
        <f>IF(B5&gt;=90, "BECA", "SIN BECA")</f>
        <v>SIN BECA</v>
      </c>
    </row>
    <row r="6" spans="1:12" x14ac:dyDescent="0.3">
      <c r="A6" s="2" t="s">
        <v>10</v>
      </c>
      <c r="B6" s="2">
        <v>45</v>
      </c>
      <c r="C6" s="2" t="str">
        <f t="shared" si="0"/>
        <v>REPROBADO</v>
      </c>
      <c r="D6" s="2" t="str">
        <f>IF(B6&gt;=90, "BECA", "SIN BECA")</f>
        <v>SIN BECA</v>
      </c>
    </row>
    <row r="7" spans="1:12" x14ac:dyDescent="0.3">
      <c r="A7" s="2" t="s">
        <v>11</v>
      </c>
      <c r="B7" s="2">
        <v>90</v>
      </c>
      <c r="C7" s="2" t="str">
        <f t="shared" si="0"/>
        <v>APROBADO</v>
      </c>
      <c r="D7" s="2" t="str">
        <f t="shared" ref="D7:D12" si="1">IF(B7&gt;=90, "TIENE BECA", "SIN BECA")</f>
        <v>TIENE BECA</v>
      </c>
    </row>
    <row r="8" spans="1:12" x14ac:dyDescent="0.3">
      <c r="A8" s="2" t="s">
        <v>12</v>
      </c>
      <c r="B8" s="2">
        <v>55</v>
      </c>
      <c r="C8" s="2" t="str">
        <f t="shared" si="0"/>
        <v>REPROBADO</v>
      </c>
      <c r="D8" s="2" t="str">
        <f t="shared" si="1"/>
        <v>SIN BECA</v>
      </c>
    </row>
    <row r="9" spans="1:12" x14ac:dyDescent="0.3">
      <c r="A9" s="2" t="s">
        <v>13</v>
      </c>
      <c r="B9" s="2">
        <v>88</v>
      </c>
      <c r="C9" s="2" t="str">
        <f t="shared" si="0"/>
        <v>APROBADO</v>
      </c>
      <c r="D9" s="2" t="str">
        <f t="shared" si="1"/>
        <v>SIN BECA</v>
      </c>
    </row>
    <row r="10" spans="1:12" x14ac:dyDescent="0.3">
      <c r="A10" s="2" t="s">
        <v>14</v>
      </c>
      <c r="B10" s="2">
        <v>62</v>
      </c>
      <c r="C10" s="2" t="str">
        <f t="shared" si="0"/>
        <v>APROBADO</v>
      </c>
      <c r="D10" s="2" t="str">
        <f t="shared" si="1"/>
        <v>SIN BECA</v>
      </c>
    </row>
    <row r="11" spans="1:12" x14ac:dyDescent="0.3">
      <c r="A11" s="2" t="s">
        <v>15</v>
      </c>
      <c r="B11" s="2">
        <v>35</v>
      </c>
      <c r="C11" s="2" t="str">
        <f t="shared" si="0"/>
        <v>REPROBADO</v>
      </c>
      <c r="D11" s="2" t="str">
        <f t="shared" si="1"/>
        <v>SIN BECA</v>
      </c>
    </row>
    <row r="12" spans="1:12" x14ac:dyDescent="0.3">
      <c r="A12" s="2" t="s">
        <v>16</v>
      </c>
      <c r="B12" s="2">
        <v>95</v>
      </c>
      <c r="C12" s="2" t="str">
        <f t="shared" si="0"/>
        <v>APROBADO</v>
      </c>
      <c r="D12" s="2" t="str">
        <f t="shared" si="1"/>
        <v>TIENE BECA</v>
      </c>
    </row>
    <row r="14" spans="1:12" x14ac:dyDescent="0.3">
      <c r="A14" s="5" t="s">
        <v>1</v>
      </c>
      <c r="B14" s="5" t="s">
        <v>2</v>
      </c>
    </row>
    <row r="15" spans="1:12" x14ac:dyDescent="0.3">
      <c r="A15" s="4" t="s">
        <v>17</v>
      </c>
      <c r="B15" s="2">
        <f>MAX(B5:B12)</f>
        <v>95</v>
      </c>
    </row>
    <row r="16" spans="1:12" x14ac:dyDescent="0.3">
      <c r="A16" s="4" t="s">
        <v>18</v>
      </c>
      <c r="B16" s="2">
        <f>MIN(B5:B12)</f>
        <v>35</v>
      </c>
      <c r="F16" s="8" t="s">
        <v>22</v>
      </c>
      <c r="G16" s="8"/>
      <c r="H16" s="8"/>
      <c r="I16" s="8"/>
      <c r="J16" s="8"/>
      <c r="K16" s="8"/>
      <c r="L16" s="8"/>
    </row>
    <row r="17" spans="1:11" x14ac:dyDescent="0.3">
      <c r="A17" s="4" t="s">
        <v>19</v>
      </c>
      <c r="B17" s="2">
        <f>AVERAGE(B5:B12)</f>
        <v>68.125</v>
      </c>
      <c r="F17" s="7"/>
    </row>
    <row r="18" spans="1:11" x14ac:dyDescent="0.3">
      <c r="A18" s="4" t="s">
        <v>20</v>
      </c>
      <c r="B18" s="2">
        <f>COUNTIF(C5:C12, "APROBADO")</f>
        <v>5</v>
      </c>
      <c r="F18" s="9" t="s">
        <v>23</v>
      </c>
      <c r="G18" s="9"/>
      <c r="H18" s="9"/>
      <c r="I18" s="9"/>
      <c r="J18" s="9"/>
      <c r="K18" s="9"/>
    </row>
    <row r="19" spans="1:11" x14ac:dyDescent="0.3">
      <c r="A19" s="4" t="s">
        <v>21</v>
      </c>
      <c r="B19" s="2">
        <f>COUNTIF(C6:C13, "REPROBADO")</f>
        <v>3</v>
      </c>
    </row>
  </sheetData>
  <mergeCells count="3">
    <mergeCell ref="A2:F2"/>
    <mergeCell ref="F16:L16"/>
    <mergeCell ref="F18:K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Villar</dc:creator>
  <cp:lastModifiedBy>Edwin Villar</cp:lastModifiedBy>
  <dcterms:created xsi:type="dcterms:W3CDTF">2026-06-06T19:13:54Z</dcterms:created>
  <dcterms:modified xsi:type="dcterms:W3CDTF">2026-06-06T21:55:43Z</dcterms:modified>
</cp:coreProperties>
</file>