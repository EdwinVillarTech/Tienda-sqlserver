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d86eecf8daf4f0d/Documents/SQL Server Management Studio 22/Tienda-sqlserver/"/>
    </mc:Choice>
  </mc:AlternateContent>
  <xr:revisionPtr revIDLastSave="8" documentId="8_{B6D1520B-D4D6-4077-8164-9451BE0DF672}" xr6:coauthVersionLast="47" xr6:coauthVersionMax="47" xr10:uidLastSave="{C302DB73-0E32-4129-A08F-5A86CE03815B}"/>
  <bookViews>
    <workbookView xWindow="-108" yWindow="-108" windowWidth="23256" windowHeight="12456" activeTab="4" xr2:uid="{55E6BA22-5BF6-48F1-B000-1834AD0F9976}"/>
  </bookViews>
  <sheets>
    <sheet name="Inventario" sheetId="1" r:id="rId1"/>
    <sheet name="Ventas" sheetId="2" r:id="rId2"/>
    <sheet name="Resumen" sheetId="3" r:id="rId3"/>
    <sheet name="KPIs" sheetId="4" r:id="rId4"/>
    <sheet name="Dashboard" sheetId="5" r:id="rId5"/>
  </sheets>
  <definedNames>
    <definedName name="NativeTimeline_Fecha">#N/A</definedName>
    <definedName name="SegmentaciónDeDatos_Categoria">#N/A</definedName>
    <definedName name="SegmentaciónDeDatos_Region">#N/A</definedName>
    <definedName name="SegmentaciónDeDatos_Vendedor">#N/A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0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4" l="1"/>
  <c r="D6" i="4"/>
  <c r="D8" i="4"/>
  <c r="D7" i="4"/>
  <c r="D4" i="4"/>
  <c r="D5" i="4"/>
  <c r="C8" i="4"/>
  <c r="C7" i="4"/>
  <c r="C6" i="4"/>
  <c r="C5" i="4"/>
  <c r="C4" i="4"/>
  <c r="B12" i="3"/>
  <c r="B11" i="3"/>
  <c r="B10" i="3"/>
  <c r="B9" i="3"/>
  <c r="B8" i="3"/>
  <c r="B6" i="3"/>
  <c r="B4" i="3"/>
  <c r="G3" i="2"/>
  <c r="G4" i="2"/>
  <c r="G5" i="2"/>
  <c r="G6" i="2"/>
  <c r="B7" i="3" s="1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" i="2"/>
  <c r="H3" i="1"/>
  <c r="H4" i="1"/>
  <c r="H5" i="1"/>
  <c r="H6" i="1"/>
  <c r="H7" i="1"/>
  <c r="H8" i="1"/>
  <c r="H9" i="1"/>
  <c r="H10" i="1"/>
  <c r="H11" i="1"/>
  <c r="H12" i="1"/>
  <c r="H13" i="1"/>
  <c r="G3" i="1"/>
  <c r="G4" i="1"/>
  <c r="G5" i="1"/>
  <c r="G6" i="1"/>
  <c r="G7" i="1"/>
  <c r="G8" i="1"/>
  <c r="G9" i="1"/>
  <c r="G10" i="1"/>
  <c r="G11" i="1"/>
  <c r="G12" i="1"/>
  <c r="G13" i="1"/>
  <c r="H2" i="1"/>
  <c r="G2" i="1"/>
  <c r="B5" i="3" l="1"/>
</calcChain>
</file>

<file path=xl/sharedStrings.xml><?xml version="1.0" encoding="utf-8"?>
<sst xmlns="http://schemas.openxmlformats.org/spreadsheetml/2006/main" count="234" uniqueCount="76">
  <si>
    <t>ID</t>
  </si>
  <si>
    <t>Producto</t>
  </si>
  <si>
    <t>Categoria</t>
  </si>
  <si>
    <t>Stock Inicial</t>
  </si>
  <si>
    <t>Stock Actual</t>
  </si>
  <si>
    <t>Precio Unitario</t>
  </si>
  <si>
    <t>Valor Total</t>
  </si>
  <si>
    <t>Estado</t>
  </si>
  <si>
    <t>P001</t>
  </si>
  <si>
    <t>Laptop Dell</t>
  </si>
  <si>
    <t>Electrónico</t>
  </si>
  <si>
    <t>P002</t>
  </si>
  <si>
    <t>Mouse Inalámbrico</t>
  </si>
  <si>
    <t>Accesorio</t>
  </si>
  <si>
    <t>P003</t>
  </si>
  <si>
    <t>Teclado USB</t>
  </si>
  <si>
    <t>P004</t>
  </si>
  <si>
    <t>Monitor 24"</t>
  </si>
  <si>
    <t>P005</t>
  </si>
  <si>
    <t>Tablet Samsung</t>
  </si>
  <si>
    <t>P006</t>
  </si>
  <si>
    <t>Audífonos Sony</t>
  </si>
  <si>
    <t>P007</t>
  </si>
  <si>
    <t>Impresora HP</t>
  </si>
  <si>
    <t>P008</t>
  </si>
  <si>
    <t>Cable HDMI</t>
  </si>
  <si>
    <t>P009</t>
  </si>
  <si>
    <t>Disco Duro 1TB</t>
  </si>
  <si>
    <t>P010</t>
  </si>
  <si>
    <t>Memoria USB 64GB</t>
  </si>
  <si>
    <t>P011</t>
  </si>
  <si>
    <t>Webcam HD</t>
  </si>
  <si>
    <t>P012</t>
  </si>
  <si>
    <t>Hub USB</t>
  </si>
  <si>
    <t>Fecha</t>
  </si>
  <si>
    <t>ID Producto</t>
  </si>
  <si>
    <t>Cantidad</t>
  </si>
  <si>
    <t>Precio</t>
  </si>
  <si>
    <t>Total Venta</t>
  </si>
  <si>
    <t>Vendedor</t>
  </si>
  <si>
    <t>Region</t>
  </si>
  <si>
    <t>Carlos</t>
  </si>
  <si>
    <t>Norte</t>
  </si>
  <si>
    <t>Maria</t>
  </si>
  <si>
    <t>Sur</t>
  </si>
  <si>
    <t>Pedro</t>
  </si>
  <si>
    <t>Este</t>
  </si>
  <si>
    <t>Ana</t>
  </si>
  <si>
    <t>Oeste</t>
  </si>
  <si>
    <t>Sistema de Inventario y Ventas — Resumen 2026</t>
  </si>
  <si>
    <t xml:space="preserve">Indicador </t>
  </si>
  <si>
    <t xml:space="preserve">Total Ventas </t>
  </si>
  <si>
    <t xml:space="preserve">Total Ingresos </t>
  </si>
  <si>
    <t>Producto Mas Vendido</t>
  </si>
  <si>
    <t>Categoria lider</t>
  </si>
  <si>
    <t xml:space="preserve">Vendedor Top </t>
  </si>
  <si>
    <t>Total Productos en Inventario</t>
  </si>
  <si>
    <t>Productos en Stock Critico</t>
  </si>
  <si>
    <t xml:space="preserve">Valor Total Inventario </t>
  </si>
  <si>
    <t xml:space="preserve">Promedio Venta por Transaccion </t>
  </si>
  <si>
    <t>Valor</t>
  </si>
  <si>
    <t>Sistema de Inventario y Ventas — KPIs 2026</t>
  </si>
  <si>
    <t>KPI</t>
  </si>
  <si>
    <t>Meta</t>
  </si>
  <si>
    <t>Real</t>
  </si>
  <si>
    <t>Total Ingresos</t>
  </si>
  <si>
    <t>Total Transacciones</t>
  </si>
  <si>
    <t>Productos Stock Crítico</t>
  </si>
  <si>
    <t>Vendedor Top Ventas</t>
  </si>
  <si>
    <t>Promedio por Venta</t>
  </si>
  <si>
    <t>Etiquetas de fila</t>
  </si>
  <si>
    <t>Total general</t>
  </si>
  <si>
    <t>Etiquetas de columna</t>
  </si>
  <si>
    <t>Suma de Total Venta</t>
  </si>
  <si>
    <t>(Todas)</t>
  </si>
  <si>
    <t>Sistema de Inventario y Ventas — Dashboard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</si>
</sst>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XDR&quot;* #,##0.00_-;\-&quot;XDR&quot;* #,##0.00_-;_-&quot;XDR&quot;* &quot;-&quot;??_-;_-@_-"/>
    <numFmt numFmtId="164" formatCode="_-[$$-409]* #,##0.00_ ;_-[$$-409]* \-#,##0.00\ ;_-[$$-409]* &quot;-&quot;??_ ;_-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00B0F0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2" borderId="0" applyNumberFormat="0" applyBorder="0" applyAlignment="0" applyProtection="0"/>
  </cellStyleXfs>
  <cellXfs count="25">
    <xf numFmtId="0" fontId="0" fillId="0" borderId="0" xfId="0"/>
    <xf numFmtId="0" fontId="0" fillId="0" borderId="1" xfId="0" applyBorder="1"/>
    <xf numFmtId="164" fontId="0" fillId="0" borderId="0" xfId="0" applyNumberFormat="1"/>
    <xf numFmtId="14" fontId="0" fillId="0" borderId="0" xfId="0" applyNumberFormat="1"/>
    <xf numFmtId="0" fontId="0" fillId="0" borderId="2" xfId="0" applyBorder="1"/>
    <xf numFmtId="0" fontId="0" fillId="0" borderId="3" xfId="0" applyBorder="1"/>
    <xf numFmtId="0" fontId="2" fillId="3" borderId="4" xfId="0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2" borderId="0" xfId="2" applyFont="1"/>
    <xf numFmtId="2" fontId="0" fillId="0" borderId="0" xfId="0" applyNumberFormat="1"/>
    <xf numFmtId="0" fontId="7" fillId="0" borderId="0" xfId="0" applyFont="1"/>
    <xf numFmtId="2" fontId="0" fillId="0" borderId="1" xfId="0" applyNumberFormat="1" applyBorder="1"/>
    <xf numFmtId="0" fontId="3" fillId="4" borderId="1" xfId="0" applyFont="1" applyFill="1" applyBorder="1"/>
    <xf numFmtId="164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6" fillId="0" borderId="0" xfId="0" applyFont="1"/>
    <xf numFmtId="0" fontId="0" fillId="0" borderId="0" xfId="0" applyAlignment="1">
      <alignment horizontal="left" indent="2"/>
    </xf>
    <xf numFmtId="0" fontId="5" fillId="3" borderId="0" xfId="0" applyFont="1" applyFill="1" applyAlignment="1">
      <alignment horizontal="left"/>
    </xf>
    <xf numFmtId="0" fontId="0" fillId="0" borderId="0" xfId="0" applyNumberFormat="1"/>
  </cellXfs>
  <cellStyles count="3">
    <cellStyle name="Énfasis1" xfId="2" builtinId="29"/>
    <cellStyle name="Moneda" xfId="1" builtinId="4"/>
    <cellStyle name="Normal" xfId="0" builtinId="0"/>
  </cellStyles>
  <dxfs count="16"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numFmt numFmtId="19" formatCode="d/m/yyyy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F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1/relationships/timelineCache" Target="timelineCaches/timelineCach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[Sistemas-Inventario-Ventas-2026.xlsx]Dashboard!Sistema de Inventario y Ventas — Dashboard 2026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Dashboard!$B$5:$B$6</c:f>
              <c:strCache>
                <c:ptCount val="1"/>
                <c:pt idx="0">
                  <c:v>Este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Dashboard!$A$7:$A$34</c:f>
              <c:multiLvlStrCache>
                <c:ptCount val="18"/>
                <c:lvl>
                  <c:pt idx="0">
                    <c:v>Audífonos Sony</c:v>
                  </c:pt>
                  <c:pt idx="1">
                    <c:v>Cable HDMI</c:v>
                  </c:pt>
                  <c:pt idx="2">
                    <c:v>Hub USB</c:v>
                  </c:pt>
                  <c:pt idx="3">
                    <c:v>Cable HDMI</c:v>
                  </c:pt>
                  <c:pt idx="4">
                    <c:v>Audífonos Sony</c:v>
                  </c:pt>
                  <c:pt idx="5">
                    <c:v>Memoria USB 64GB</c:v>
                  </c:pt>
                  <c:pt idx="6">
                    <c:v>Mouse Inalámbrico</c:v>
                  </c:pt>
                  <c:pt idx="7">
                    <c:v>Teclado USB</c:v>
                  </c:pt>
                  <c:pt idx="8">
                    <c:v>Teclado USB</c:v>
                  </c:pt>
                  <c:pt idx="9">
                    <c:v>Impresora HP</c:v>
                  </c:pt>
                  <c:pt idx="10">
                    <c:v>Monitor 24"</c:v>
                  </c:pt>
                  <c:pt idx="11">
                    <c:v>Disco Duro 1TB</c:v>
                  </c:pt>
                  <c:pt idx="12">
                    <c:v>Laptop Dell</c:v>
                  </c:pt>
                  <c:pt idx="13">
                    <c:v>Tablet Samsung</c:v>
                  </c:pt>
                  <c:pt idx="14">
                    <c:v>Impresora HP</c:v>
                  </c:pt>
                  <c:pt idx="15">
                    <c:v>Monitor 24"</c:v>
                  </c:pt>
                  <c:pt idx="16">
                    <c:v>Tablet Samsung</c:v>
                  </c:pt>
                  <c:pt idx="17">
                    <c:v>Webcam HD</c:v>
                  </c:pt>
                </c:lvl>
                <c:lvl>
                  <c:pt idx="0">
                    <c:v>Ana</c:v>
                  </c:pt>
                  <c:pt idx="3">
                    <c:v>Carlos</c:v>
                  </c:pt>
                  <c:pt idx="4">
                    <c:v>Maria</c:v>
                  </c:pt>
                  <c:pt idx="8">
                    <c:v>Pedro</c:v>
                  </c:pt>
                  <c:pt idx="9">
                    <c:v>Ana</c:v>
                  </c:pt>
                  <c:pt idx="11">
                    <c:v>Carlos</c:v>
                  </c:pt>
                  <c:pt idx="14">
                    <c:v>Pedro</c:v>
                  </c:pt>
                </c:lvl>
                <c:lvl>
                  <c:pt idx="0">
                    <c:v>Accesorio</c:v>
                  </c:pt>
                  <c:pt idx="9">
                    <c:v>Electrónico</c:v>
                  </c:pt>
                </c:lvl>
              </c:multiLvlStrCache>
            </c:multiLvlStrRef>
          </c:cat>
          <c:val>
            <c:numRef>
              <c:f>Dashboard!$B$7:$B$34</c:f>
              <c:numCache>
                <c:formatCode>General</c:formatCode>
                <c:ptCount val="18"/>
                <c:pt idx="8">
                  <c:v>150</c:v>
                </c:pt>
                <c:pt idx="14">
                  <c:v>750</c:v>
                </c:pt>
                <c:pt idx="15">
                  <c:v>600</c:v>
                </c:pt>
                <c:pt idx="16">
                  <c:v>1050</c:v>
                </c:pt>
                <c:pt idx="17">
                  <c:v>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42-4FEF-A0C5-896C71D0430F}"/>
            </c:ext>
          </c:extLst>
        </c:ser>
        <c:ser>
          <c:idx val="1"/>
          <c:order val="1"/>
          <c:tx>
            <c:strRef>
              <c:f>Dashboard!$C$5:$C$6</c:f>
              <c:strCache>
                <c:ptCount val="1"/>
                <c:pt idx="0">
                  <c:v>Norte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Dashboard!$A$7:$A$34</c:f>
              <c:multiLvlStrCache>
                <c:ptCount val="18"/>
                <c:lvl>
                  <c:pt idx="0">
                    <c:v>Audífonos Sony</c:v>
                  </c:pt>
                  <c:pt idx="1">
                    <c:v>Cable HDMI</c:v>
                  </c:pt>
                  <c:pt idx="2">
                    <c:v>Hub USB</c:v>
                  </c:pt>
                  <c:pt idx="3">
                    <c:v>Cable HDMI</c:v>
                  </c:pt>
                  <c:pt idx="4">
                    <c:v>Audífonos Sony</c:v>
                  </c:pt>
                  <c:pt idx="5">
                    <c:v>Memoria USB 64GB</c:v>
                  </c:pt>
                  <c:pt idx="6">
                    <c:v>Mouse Inalámbrico</c:v>
                  </c:pt>
                  <c:pt idx="7">
                    <c:v>Teclado USB</c:v>
                  </c:pt>
                  <c:pt idx="8">
                    <c:v>Teclado USB</c:v>
                  </c:pt>
                  <c:pt idx="9">
                    <c:v>Impresora HP</c:v>
                  </c:pt>
                  <c:pt idx="10">
                    <c:v>Monitor 24"</c:v>
                  </c:pt>
                  <c:pt idx="11">
                    <c:v>Disco Duro 1TB</c:v>
                  </c:pt>
                  <c:pt idx="12">
                    <c:v>Laptop Dell</c:v>
                  </c:pt>
                  <c:pt idx="13">
                    <c:v>Tablet Samsung</c:v>
                  </c:pt>
                  <c:pt idx="14">
                    <c:v>Impresora HP</c:v>
                  </c:pt>
                  <c:pt idx="15">
                    <c:v>Monitor 24"</c:v>
                  </c:pt>
                  <c:pt idx="16">
                    <c:v>Tablet Samsung</c:v>
                  </c:pt>
                  <c:pt idx="17">
                    <c:v>Webcam HD</c:v>
                  </c:pt>
                </c:lvl>
                <c:lvl>
                  <c:pt idx="0">
                    <c:v>Ana</c:v>
                  </c:pt>
                  <c:pt idx="3">
                    <c:v>Carlos</c:v>
                  </c:pt>
                  <c:pt idx="4">
                    <c:v>Maria</c:v>
                  </c:pt>
                  <c:pt idx="8">
                    <c:v>Pedro</c:v>
                  </c:pt>
                  <c:pt idx="9">
                    <c:v>Ana</c:v>
                  </c:pt>
                  <c:pt idx="11">
                    <c:v>Carlos</c:v>
                  </c:pt>
                  <c:pt idx="14">
                    <c:v>Pedro</c:v>
                  </c:pt>
                </c:lvl>
                <c:lvl>
                  <c:pt idx="0">
                    <c:v>Accesorio</c:v>
                  </c:pt>
                  <c:pt idx="9">
                    <c:v>Electrónico</c:v>
                  </c:pt>
                </c:lvl>
              </c:multiLvlStrCache>
            </c:multiLvlStrRef>
          </c:cat>
          <c:val>
            <c:numRef>
              <c:f>Dashboard!$C$7:$C$34</c:f>
              <c:numCache>
                <c:formatCode>General</c:formatCode>
                <c:ptCount val="18"/>
                <c:pt idx="3">
                  <c:v>160</c:v>
                </c:pt>
                <c:pt idx="11">
                  <c:v>1320</c:v>
                </c:pt>
                <c:pt idx="12">
                  <c:v>4000</c:v>
                </c:pt>
                <c:pt idx="13">
                  <c:v>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5DD-468F-9A7F-44A500AEF87D}"/>
            </c:ext>
          </c:extLst>
        </c:ser>
        <c:ser>
          <c:idx val="2"/>
          <c:order val="2"/>
          <c:tx>
            <c:strRef>
              <c:f>Dashboard!$D$5:$D$6</c:f>
              <c:strCache>
                <c:ptCount val="1"/>
                <c:pt idx="0">
                  <c:v>Oeste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Dashboard!$A$7:$A$34</c:f>
              <c:multiLvlStrCache>
                <c:ptCount val="18"/>
                <c:lvl>
                  <c:pt idx="0">
                    <c:v>Audífonos Sony</c:v>
                  </c:pt>
                  <c:pt idx="1">
                    <c:v>Cable HDMI</c:v>
                  </c:pt>
                  <c:pt idx="2">
                    <c:v>Hub USB</c:v>
                  </c:pt>
                  <c:pt idx="3">
                    <c:v>Cable HDMI</c:v>
                  </c:pt>
                  <c:pt idx="4">
                    <c:v>Audífonos Sony</c:v>
                  </c:pt>
                  <c:pt idx="5">
                    <c:v>Memoria USB 64GB</c:v>
                  </c:pt>
                  <c:pt idx="6">
                    <c:v>Mouse Inalámbrico</c:v>
                  </c:pt>
                  <c:pt idx="7">
                    <c:v>Teclado USB</c:v>
                  </c:pt>
                  <c:pt idx="8">
                    <c:v>Teclado USB</c:v>
                  </c:pt>
                  <c:pt idx="9">
                    <c:v>Impresora HP</c:v>
                  </c:pt>
                  <c:pt idx="10">
                    <c:v>Monitor 24"</c:v>
                  </c:pt>
                  <c:pt idx="11">
                    <c:v>Disco Duro 1TB</c:v>
                  </c:pt>
                  <c:pt idx="12">
                    <c:v>Laptop Dell</c:v>
                  </c:pt>
                  <c:pt idx="13">
                    <c:v>Tablet Samsung</c:v>
                  </c:pt>
                  <c:pt idx="14">
                    <c:v>Impresora HP</c:v>
                  </c:pt>
                  <c:pt idx="15">
                    <c:v>Monitor 24"</c:v>
                  </c:pt>
                  <c:pt idx="16">
                    <c:v>Tablet Samsung</c:v>
                  </c:pt>
                  <c:pt idx="17">
                    <c:v>Webcam HD</c:v>
                  </c:pt>
                </c:lvl>
                <c:lvl>
                  <c:pt idx="0">
                    <c:v>Ana</c:v>
                  </c:pt>
                  <c:pt idx="3">
                    <c:v>Carlos</c:v>
                  </c:pt>
                  <c:pt idx="4">
                    <c:v>Maria</c:v>
                  </c:pt>
                  <c:pt idx="8">
                    <c:v>Pedro</c:v>
                  </c:pt>
                  <c:pt idx="9">
                    <c:v>Ana</c:v>
                  </c:pt>
                  <c:pt idx="11">
                    <c:v>Carlos</c:v>
                  </c:pt>
                  <c:pt idx="14">
                    <c:v>Pedro</c:v>
                  </c:pt>
                </c:lvl>
                <c:lvl>
                  <c:pt idx="0">
                    <c:v>Accesorio</c:v>
                  </c:pt>
                  <c:pt idx="9">
                    <c:v>Electrónico</c:v>
                  </c:pt>
                </c:lvl>
              </c:multiLvlStrCache>
            </c:multiLvlStrRef>
          </c:cat>
          <c:val>
            <c:numRef>
              <c:f>Dashboard!$D$7:$D$34</c:f>
              <c:numCache>
                <c:formatCode>General</c:formatCode>
                <c:ptCount val="18"/>
                <c:pt idx="0">
                  <c:v>270</c:v>
                </c:pt>
                <c:pt idx="1">
                  <c:v>120</c:v>
                </c:pt>
                <c:pt idx="2">
                  <c:v>450</c:v>
                </c:pt>
                <c:pt idx="9">
                  <c:v>500</c:v>
                </c:pt>
                <c:pt idx="10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C5DD-468F-9A7F-44A500AEF87D}"/>
            </c:ext>
          </c:extLst>
        </c:ser>
        <c:ser>
          <c:idx val="3"/>
          <c:order val="3"/>
          <c:tx>
            <c:strRef>
              <c:f>Dashboard!$E$5:$E$6</c:f>
              <c:strCache>
                <c:ptCount val="1"/>
                <c:pt idx="0">
                  <c:v>Sur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Dashboard!$A$7:$A$34</c:f>
              <c:multiLvlStrCache>
                <c:ptCount val="18"/>
                <c:lvl>
                  <c:pt idx="0">
                    <c:v>Audífonos Sony</c:v>
                  </c:pt>
                  <c:pt idx="1">
                    <c:v>Cable HDMI</c:v>
                  </c:pt>
                  <c:pt idx="2">
                    <c:v>Hub USB</c:v>
                  </c:pt>
                  <c:pt idx="3">
                    <c:v>Cable HDMI</c:v>
                  </c:pt>
                  <c:pt idx="4">
                    <c:v>Audífonos Sony</c:v>
                  </c:pt>
                  <c:pt idx="5">
                    <c:v>Memoria USB 64GB</c:v>
                  </c:pt>
                  <c:pt idx="6">
                    <c:v>Mouse Inalámbrico</c:v>
                  </c:pt>
                  <c:pt idx="7">
                    <c:v>Teclado USB</c:v>
                  </c:pt>
                  <c:pt idx="8">
                    <c:v>Teclado USB</c:v>
                  </c:pt>
                  <c:pt idx="9">
                    <c:v>Impresora HP</c:v>
                  </c:pt>
                  <c:pt idx="10">
                    <c:v>Monitor 24"</c:v>
                  </c:pt>
                  <c:pt idx="11">
                    <c:v>Disco Duro 1TB</c:v>
                  </c:pt>
                  <c:pt idx="12">
                    <c:v>Laptop Dell</c:v>
                  </c:pt>
                  <c:pt idx="13">
                    <c:v>Tablet Samsung</c:v>
                  </c:pt>
                  <c:pt idx="14">
                    <c:v>Impresora HP</c:v>
                  </c:pt>
                  <c:pt idx="15">
                    <c:v>Monitor 24"</c:v>
                  </c:pt>
                  <c:pt idx="16">
                    <c:v>Tablet Samsung</c:v>
                  </c:pt>
                  <c:pt idx="17">
                    <c:v>Webcam HD</c:v>
                  </c:pt>
                </c:lvl>
                <c:lvl>
                  <c:pt idx="0">
                    <c:v>Ana</c:v>
                  </c:pt>
                  <c:pt idx="3">
                    <c:v>Carlos</c:v>
                  </c:pt>
                  <c:pt idx="4">
                    <c:v>Maria</c:v>
                  </c:pt>
                  <c:pt idx="8">
                    <c:v>Pedro</c:v>
                  </c:pt>
                  <c:pt idx="9">
                    <c:v>Ana</c:v>
                  </c:pt>
                  <c:pt idx="11">
                    <c:v>Carlos</c:v>
                  </c:pt>
                  <c:pt idx="14">
                    <c:v>Pedro</c:v>
                  </c:pt>
                </c:lvl>
                <c:lvl>
                  <c:pt idx="0">
                    <c:v>Accesorio</c:v>
                  </c:pt>
                  <c:pt idx="9">
                    <c:v>Electrónico</c:v>
                  </c:pt>
                </c:lvl>
              </c:multiLvlStrCache>
            </c:multiLvlStrRef>
          </c:cat>
          <c:val>
            <c:numRef>
              <c:f>Dashboard!$E$7:$E$34</c:f>
              <c:numCache>
                <c:formatCode>General</c:formatCode>
                <c:ptCount val="18"/>
                <c:pt idx="4">
                  <c:v>360</c:v>
                </c:pt>
                <c:pt idx="5">
                  <c:v>420</c:v>
                </c:pt>
                <c:pt idx="6">
                  <c:v>330</c:v>
                </c:pt>
                <c:pt idx="7">
                  <c:v>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C5DD-468F-9A7F-44A500AEF8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9274559"/>
        <c:axId val="1001434415"/>
      </c:barChart>
      <c:catAx>
        <c:axId val="999274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434415"/>
        <c:crosses val="autoZero"/>
        <c:auto val="1"/>
        <c:lblAlgn val="ctr"/>
        <c:lblOffset val="100"/>
        <c:noMultiLvlLbl val="0"/>
      </c:catAx>
      <c:valAx>
        <c:axId val="100143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274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365760</xdr:colOff>
      <xdr:row>20</xdr:row>
      <xdr:rowOff>144780</xdr:rowOff>
    </xdr:from>
    <xdr:to>
      <xdr:col>10</xdr:col>
      <xdr:colOff>609600</xdr:colOff>
      <xdr:row>34</xdr:row>
      <xdr:rowOff>51435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ategoria">
              <a:extLst>
                <a:ext uri="{FF2B5EF4-FFF2-40B4-BE49-F238E27FC236}">
                  <a16:creationId xmlns:a16="http://schemas.microsoft.com/office/drawing/2014/main" id="{E484D57D-AB37-7047-1738-F345CEF0D11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57060" y="381762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99060</xdr:colOff>
      <xdr:row>20</xdr:row>
      <xdr:rowOff>137160</xdr:rowOff>
    </xdr:from>
    <xdr:to>
      <xdr:col>8</xdr:col>
      <xdr:colOff>342900</xdr:colOff>
      <xdr:row>34</xdr:row>
      <xdr:rowOff>43815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Vendedor">
              <a:extLst>
                <a:ext uri="{FF2B5EF4-FFF2-40B4-BE49-F238E27FC236}">
                  <a16:creationId xmlns:a16="http://schemas.microsoft.com/office/drawing/2014/main" id="{7F4AA775-64F2-3381-A8EE-E79E59E85F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05400" y="381000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678180</xdr:colOff>
      <xdr:row>20</xdr:row>
      <xdr:rowOff>121920</xdr:rowOff>
    </xdr:from>
    <xdr:to>
      <xdr:col>13</xdr:col>
      <xdr:colOff>129540</xdr:colOff>
      <xdr:row>34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Region">
              <a:extLst>
                <a:ext uri="{FF2B5EF4-FFF2-40B4-BE49-F238E27FC236}">
                  <a16:creationId xmlns:a16="http://schemas.microsoft.com/office/drawing/2014/main" id="{130A86F8-303E-B26B-D911-EE0F1E049F7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54440" y="379476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274320</xdr:colOff>
      <xdr:row>0</xdr:row>
      <xdr:rowOff>45720</xdr:rowOff>
    </xdr:from>
    <xdr:to>
      <xdr:col>17</xdr:col>
      <xdr:colOff>441960</xdr:colOff>
      <xdr:row>12</xdr:row>
      <xdr:rowOff>7620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5" name="Fecha">
              <a:extLst>
                <a:ext uri="{FF2B5EF4-FFF2-40B4-BE49-F238E27FC236}">
                  <a16:creationId xmlns:a16="http://schemas.microsoft.com/office/drawing/2014/main" id="{27BD7B37-B791-5800-ADF3-979BFDDD11C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Fech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28020" y="45720"/>
              <a:ext cx="3337560" cy="2171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  <xdr:twoCellAnchor>
    <xdr:from>
      <xdr:col>6</xdr:col>
      <xdr:colOff>236220</xdr:colOff>
      <xdr:row>0</xdr:row>
      <xdr:rowOff>7620</xdr:rowOff>
    </xdr:from>
    <xdr:to>
      <xdr:col>13</xdr:col>
      <xdr:colOff>137160</xdr:colOff>
      <xdr:row>19</xdr:row>
      <xdr:rowOff>144780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42DA42D-3B95-B1C3-3069-CCEC688DEE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win" refreshedDate="46210.793144212963" createdVersion="8" refreshedVersion="8" minRefreshableVersion="3" recordCount="24" xr:uid="{91E211FD-F17F-45FF-9809-33878C16F2F3}">
  <cacheSource type="worksheet">
    <worksheetSource name="TablaVentas"/>
  </cacheSource>
  <cacheFields count="9">
    <cacheField name="Fecha" numFmtId="14">
      <sharedItems containsSemiMixedTypes="0" containsNonDate="0" containsDate="1" containsString="0" minDate="2026-01-01T00:00:00" maxDate="2026-04-26T00:00:00" count="24">
        <d v="2026-01-01T00:00:00"/>
        <d v="2026-01-05T00:00:00"/>
        <d v="2026-01-10T00:00:00"/>
        <d v="2026-01-15T00:00:00"/>
        <d v="2026-01-20T00:00:00"/>
        <d v="2026-01-25T00:00:00"/>
        <d v="2026-02-01T00:00:00"/>
        <d v="2026-02-05T00:00:00"/>
        <d v="2026-02-10T00:00:00"/>
        <d v="2026-02-15T00:00:00"/>
        <d v="2026-02-20T00:00:00"/>
        <d v="2026-02-25T00:00:00"/>
        <d v="2026-03-01T00:00:00"/>
        <d v="2026-03-05T00:00:00"/>
        <d v="2026-03-10T00:00:00"/>
        <d v="2026-03-15T00:00:00"/>
        <d v="2026-03-20T00:00:00"/>
        <d v="2026-03-25T00:00:00"/>
        <d v="2026-04-01T00:00:00"/>
        <d v="2026-04-05T00:00:00"/>
        <d v="2026-04-10T00:00:00"/>
        <d v="2026-04-15T00:00:00"/>
        <d v="2026-04-20T00:00:00"/>
        <d v="2026-04-25T00:00:00"/>
      </sharedItems>
    </cacheField>
    <cacheField name="ID Producto" numFmtId="0">
      <sharedItems/>
    </cacheField>
    <cacheField name="Producto" numFmtId="0">
      <sharedItems count="12">
        <s v="Laptop Dell"/>
        <s v="Mouse Inalámbrico"/>
        <s v="Teclado USB"/>
        <s v="Monitor 24&quot;"/>
        <s v="Tablet Samsung"/>
        <s v="Audífonos Sony"/>
        <s v="Impresora HP"/>
        <s v="Cable HDMI"/>
        <s v="Disco Duro 1TB"/>
        <s v="Memoria USB 64GB"/>
        <s v="Webcam HD"/>
        <s v="Hub USB"/>
      </sharedItems>
    </cacheField>
    <cacheField name="Categoria" numFmtId="0">
      <sharedItems count="2">
        <s v="Electrónico"/>
        <s v="Accesorio"/>
      </sharedItems>
    </cacheField>
    <cacheField name="Cantidad" numFmtId="0">
      <sharedItems containsSemiMixedTypes="0" containsString="0" containsNumber="1" containsInteger="1" minValue="2" maxValue="20"/>
    </cacheField>
    <cacheField name="Precio" numFmtId="0">
      <sharedItems containsSemiMixedTypes="0" containsString="0" containsNumber="1" containsInteger="1" minValue="8" maxValue="800"/>
    </cacheField>
    <cacheField name="Total Venta" numFmtId="0">
      <sharedItems containsSemiMixedTypes="0" containsString="0" containsNumber="1" containsInteger="1" minValue="120" maxValue="2400"/>
    </cacheField>
    <cacheField name="Vendedor" numFmtId="0">
      <sharedItems count="4">
        <s v="Carlos"/>
        <s v="Maria"/>
        <s v="Pedro"/>
        <s v="Ana"/>
      </sharedItems>
    </cacheField>
    <cacheField name="Region" numFmtId="0">
      <sharedItems count="4">
        <s v="Norte"/>
        <s v="Sur"/>
        <s v="Este"/>
        <s v="Oeste"/>
      </sharedItems>
    </cacheField>
  </cacheFields>
  <extLst>
    <ext xmlns:x14="http://schemas.microsoft.com/office/spreadsheetml/2009/9/main" uri="{725AE2AE-9491-48be-B2B4-4EB974FC3084}">
      <x14:pivotCacheDefinition pivotCacheId="141856464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s v="P001"/>
    <x v="0"/>
    <x v="0"/>
    <n v="3"/>
    <n v="800"/>
    <n v="2400"/>
    <x v="0"/>
    <x v="0"/>
  </r>
  <r>
    <x v="1"/>
    <s v="P002"/>
    <x v="1"/>
    <x v="1"/>
    <n v="10"/>
    <n v="15"/>
    <n v="150"/>
    <x v="1"/>
    <x v="1"/>
  </r>
  <r>
    <x v="2"/>
    <s v="P003"/>
    <x v="2"/>
    <x v="1"/>
    <n v="5"/>
    <n v="30"/>
    <n v="150"/>
    <x v="2"/>
    <x v="2"/>
  </r>
  <r>
    <x v="3"/>
    <s v="P004"/>
    <x v="3"/>
    <x v="0"/>
    <n v="2"/>
    <n v="200"/>
    <n v="400"/>
    <x v="3"/>
    <x v="3"/>
  </r>
  <r>
    <x v="4"/>
    <s v="P005"/>
    <x v="4"/>
    <x v="0"/>
    <n v="4"/>
    <n v="350"/>
    <n v="1400"/>
    <x v="0"/>
    <x v="0"/>
  </r>
  <r>
    <x v="5"/>
    <s v="P006"/>
    <x v="5"/>
    <x v="1"/>
    <n v="8"/>
    <n v="45"/>
    <n v="360"/>
    <x v="1"/>
    <x v="1"/>
  </r>
  <r>
    <x v="6"/>
    <s v="P007"/>
    <x v="6"/>
    <x v="0"/>
    <n v="3"/>
    <n v="250"/>
    <n v="750"/>
    <x v="2"/>
    <x v="2"/>
  </r>
  <r>
    <x v="7"/>
    <s v="P008"/>
    <x v="7"/>
    <x v="1"/>
    <n v="15"/>
    <n v="8"/>
    <n v="120"/>
    <x v="3"/>
    <x v="3"/>
  </r>
  <r>
    <x v="8"/>
    <s v="P009"/>
    <x v="8"/>
    <x v="0"/>
    <n v="5"/>
    <n v="120"/>
    <n v="600"/>
    <x v="0"/>
    <x v="0"/>
  </r>
  <r>
    <x v="9"/>
    <s v="P010"/>
    <x v="9"/>
    <x v="1"/>
    <n v="20"/>
    <n v="12"/>
    <n v="240"/>
    <x v="1"/>
    <x v="1"/>
  </r>
  <r>
    <x v="10"/>
    <s v="P011"/>
    <x v="10"/>
    <x v="0"/>
    <n v="4"/>
    <n v="75"/>
    <n v="300"/>
    <x v="2"/>
    <x v="2"/>
  </r>
  <r>
    <x v="11"/>
    <s v="P012"/>
    <x v="11"/>
    <x v="1"/>
    <n v="10"/>
    <n v="25"/>
    <n v="250"/>
    <x v="3"/>
    <x v="3"/>
  </r>
  <r>
    <x v="12"/>
    <s v="P001"/>
    <x v="0"/>
    <x v="0"/>
    <n v="2"/>
    <n v="800"/>
    <n v="1600"/>
    <x v="0"/>
    <x v="0"/>
  </r>
  <r>
    <x v="13"/>
    <s v="P003"/>
    <x v="2"/>
    <x v="1"/>
    <n v="8"/>
    <n v="30"/>
    <n v="240"/>
    <x v="1"/>
    <x v="1"/>
  </r>
  <r>
    <x v="14"/>
    <s v="P005"/>
    <x v="4"/>
    <x v="0"/>
    <n v="3"/>
    <n v="350"/>
    <n v="1050"/>
    <x v="2"/>
    <x v="2"/>
  </r>
  <r>
    <x v="15"/>
    <s v="P007"/>
    <x v="6"/>
    <x v="0"/>
    <n v="2"/>
    <n v="250"/>
    <n v="500"/>
    <x v="3"/>
    <x v="3"/>
  </r>
  <r>
    <x v="16"/>
    <s v="P009"/>
    <x v="8"/>
    <x v="0"/>
    <n v="6"/>
    <n v="120"/>
    <n v="720"/>
    <x v="0"/>
    <x v="0"/>
  </r>
  <r>
    <x v="17"/>
    <s v="P002"/>
    <x v="1"/>
    <x v="1"/>
    <n v="12"/>
    <n v="15"/>
    <n v="180"/>
    <x v="1"/>
    <x v="1"/>
  </r>
  <r>
    <x v="18"/>
    <s v="P004"/>
    <x v="3"/>
    <x v="0"/>
    <n v="3"/>
    <n v="200"/>
    <n v="600"/>
    <x v="2"/>
    <x v="2"/>
  </r>
  <r>
    <x v="19"/>
    <s v="P006"/>
    <x v="5"/>
    <x v="1"/>
    <n v="6"/>
    <n v="45"/>
    <n v="270"/>
    <x v="3"/>
    <x v="3"/>
  </r>
  <r>
    <x v="20"/>
    <s v="P008"/>
    <x v="7"/>
    <x v="1"/>
    <n v="20"/>
    <n v="8"/>
    <n v="160"/>
    <x v="0"/>
    <x v="0"/>
  </r>
  <r>
    <x v="21"/>
    <s v="P010"/>
    <x v="9"/>
    <x v="1"/>
    <n v="15"/>
    <n v="12"/>
    <n v="180"/>
    <x v="1"/>
    <x v="1"/>
  </r>
  <r>
    <x v="22"/>
    <s v="P011"/>
    <x v="10"/>
    <x v="0"/>
    <n v="5"/>
    <n v="75"/>
    <n v="375"/>
    <x v="2"/>
    <x v="2"/>
  </r>
  <r>
    <x v="23"/>
    <s v="P012"/>
    <x v="11"/>
    <x v="1"/>
    <n v="8"/>
    <n v="25"/>
    <n v="200"/>
    <x v="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45FD51-1714-48BC-A00F-2B67B6725EB6}" name="Sistema de Inventario y Ventas — Dashboard 2026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3">
  <location ref="A5:F34" firstHeaderRow="1" firstDataRow="2" firstDataCol="1" rowPageCount="1" colPageCount="1"/>
  <pivotFields count="9">
    <pivotField axis="axisPage" numFmtId="14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axis="axisRow" showAll="0">
      <items count="13">
        <item x="5"/>
        <item x="7"/>
        <item x="8"/>
        <item x="11"/>
        <item x="6"/>
        <item x="0"/>
        <item x="9"/>
        <item x="3"/>
        <item x="1"/>
        <item x="4"/>
        <item x="2"/>
        <item x="10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dataField="1" showAll="0"/>
    <pivotField axis="axisRow" showAll="0">
      <items count="5">
        <item x="3"/>
        <item x="0"/>
        <item x="1"/>
        <item x="2"/>
        <item t="default"/>
      </items>
    </pivotField>
    <pivotField axis="axisCol" showAll="0">
      <items count="5">
        <item x="2"/>
        <item x="0"/>
        <item x="3"/>
        <item x="1"/>
        <item t="default"/>
      </items>
    </pivotField>
  </pivotFields>
  <rowFields count="3">
    <field x="3"/>
    <field x="7"/>
    <field x="2"/>
  </rowFields>
  <rowItems count="28">
    <i>
      <x/>
    </i>
    <i r="1">
      <x/>
    </i>
    <i r="2">
      <x/>
    </i>
    <i r="2">
      <x v="1"/>
    </i>
    <i r="2">
      <x v="3"/>
    </i>
    <i r="1">
      <x v="1"/>
    </i>
    <i r="2">
      <x v="1"/>
    </i>
    <i r="1">
      <x v="2"/>
    </i>
    <i r="2">
      <x/>
    </i>
    <i r="2">
      <x v="6"/>
    </i>
    <i r="2">
      <x v="8"/>
    </i>
    <i r="2">
      <x v="10"/>
    </i>
    <i r="1">
      <x v="3"/>
    </i>
    <i r="2">
      <x v="10"/>
    </i>
    <i>
      <x v="1"/>
    </i>
    <i r="1">
      <x/>
    </i>
    <i r="2">
      <x v="4"/>
    </i>
    <i r="2">
      <x v="7"/>
    </i>
    <i r="1">
      <x v="1"/>
    </i>
    <i r="2">
      <x v="2"/>
    </i>
    <i r="2">
      <x v="5"/>
    </i>
    <i r="2">
      <x v="9"/>
    </i>
    <i r="1">
      <x v="3"/>
    </i>
    <i r="2">
      <x v="4"/>
    </i>
    <i r="2">
      <x v="7"/>
    </i>
    <i r="2">
      <x v="9"/>
    </i>
    <i r="2">
      <x v="11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1">
    <pageField fld="0" hier="-1"/>
  </pageFields>
  <dataFields count="1">
    <dataField name="Suma de Total Venta" fld="6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54" name="Fecha">
      <autoFilter ref="A1">
        <filterColumn colId="0">
          <customFilters and="1">
            <customFilter operator="greaterThanOrEqual" val="46023"/>
            <customFilter operator="lessThanOrEqual" val="4614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ia" xr10:uid="{CCDF0916-FE53-4769-8C8D-8A10E50F02C0}" sourceName="Categoria">
  <pivotTables>
    <pivotTable tabId="5" name="Sistema de Inventario y Ventas — Dashboard 2026"/>
  </pivotTables>
  <data>
    <tabular pivotCacheId="1418564642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Vendedor" xr10:uid="{C4B56794-52D5-4D41-B258-F1C38C00630F}" sourceName="Vendedor">
  <pivotTables>
    <pivotTable tabId="5" name="Sistema de Inventario y Ventas — Dashboard 2026"/>
  </pivotTables>
  <data>
    <tabular pivotCacheId="1418564642">
      <items count="4">
        <i x="3" s="1"/>
        <i x="0" s="1"/>
        <i x="1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gion" xr10:uid="{CBFB14F7-67B0-4ECE-A8CC-9369A02B36A0}" sourceName="Region">
  <pivotTables>
    <pivotTable tabId="5" name="Sistema de Inventario y Ventas — Dashboard 2026"/>
  </pivotTables>
  <data>
    <tabular pivotCacheId="1418564642">
      <items count="4">
        <i x="2" s="1"/>
        <i x="0" s="1"/>
        <i x="3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ia" xr10:uid="{0125A552-A077-46D6-8854-178BC2DCE3C6}" cache="SegmentaciónDeDatos_Categoria" caption="Categoria" rowHeight="234950"/>
  <slicer name="Vendedor" xr10:uid="{4E31618A-86D0-47A7-BF2C-EAEE7428AECA}" cache="SegmentaciónDeDatos_Vendedor" caption="Vendedor" rowHeight="234950"/>
  <slicer name="Region" xr10:uid="{A1FCDC40-2B4B-4B86-85BF-4FB79908D191}" cache="SegmentaciónDeDatos_Region" caption="Region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E09D7F-B921-4B58-BEB1-564BCA4F5F1D}" name="TablaInventario" displayName="TablaInventario" ref="A1:H13" totalsRowShown="0" headerRowDxfId="15" headerRowBorderDxfId="14" tableBorderDxfId="13" totalsRowBorderDxfId="12">
  <autoFilter ref="A1:H13" xr:uid="{55E09D7F-B921-4B58-BEB1-564BCA4F5F1D}"/>
  <tableColumns count="8">
    <tableColumn id="1" xr3:uid="{B3EB25F1-929D-40E9-AF0C-E746219857FA}" name="ID" dataDxfId="11"/>
    <tableColumn id="2" xr3:uid="{D7A9161D-3EE0-4863-978B-BC271B8B3A29}" name="Producto" dataDxfId="10"/>
    <tableColumn id="3" xr3:uid="{B012C034-31BA-445D-85B3-5E392567E89F}" name="Categoria" dataDxfId="9"/>
    <tableColumn id="4" xr3:uid="{A492C268-11C1-492D-B1A5-0C74ACEFB9EE}" name="Stock Inicial" dataDxfId="8"/>
    <tableColumn id="5" xr3:uid="{420B22C9-E9A6-4AAB-9698-DB563CCC5428}" name="Stock Actual" dataDxfId="7"/>
    <tableColumn id="6" xr3:uid="{3A28A26D-45AD-4E05-A178-56F9E767DB44}" name="Precio Unitario" dataDxfId="6"/>
    <tableColumn id="7" xr3:uid="{0E3EFA46-2081-4F96-B09A-EFA6B82CE621}" name="Valor Total" dataDxfId="5">
      <calculatedColumnFormula>E2*F2</calculatedColumnFormula>
    </tableColumn>
    <tableColumn id="8" xr3:uid="{6B6B3649-70FB-4A4C-BBC3-58A26D6B8913}" name="Estado" dataDxfId="4">
      <calculatedColumnFormula>IF(E2&lt;=20," Stock Critico",IF(E2&lt;=50,"Stock Medio","Stock OK"))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4F2670D-6AB7-42D7-B03E-A02C7FBEA053}" name="TablaVentas" displayName="TablaVentas" ref="A1:I25" totalsRowShown="0">
  <autoFilter ref="A1:I25" xr:uid="{34F2670D-6AB7-42D7-B03E-A02C7FBEA053}"/>
  <tableColumns count="9">
    <tableColumn id="1" xr3:uid="{F1B5959C-3FF8-4657-B782-F2309352C6FD}" name="Fecha" dataDxfId="3"/>
    <tableColumn id="2" xr3:uid="{B0839C43-CC99-45BC-80F0-B40CDE1C2518}" name="ID Producto"/>
    <tableColumn id="3" xr3:uid="{4E38619E-B511-49C1-B088-BD3CAC480CDF}" name="Producto"/>
    <tableColumn id="4" xr3:uid="{E150EB7E-3C5D-4D01-8675-67541E924B5F}" name="Categoria"/>
    <tableColumn id="5" xr3:uid="{8E3237B8-5F8C-4861-93CE-53C29B45B9DC}" name="Cantidad"/>
    <tableColumn id="6" xr3:uid="{B872EB58-04E5-4E5F-AC28-A273563D788F}" name="Precio"/>
    <tableColumn id="7" xr3:uid="{324F24E1-640D-4924-AA03-52055DC9B29A}" name="Total Venta">
      <calculatedColumnFormula>E2*F2</calculatedColumnFormula>
    </tableColumn>
    <tableColumn id="8" xr3:uid="{E76DE160-0D8C-41B1-A805-8012467A03C9}" name="Vendedor"/>
    <tableColumn id="9" xr3:uid="{B2FE935D-B78C-49DE-BC88-C34BA1137D1D}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Fecha" xr10:uid="{2A997DE0-3520-475B-826A-22F61A90E979}" sourceName="Fecha">
  <pivotTables>
    <pivotTable tabId="5" name="Sistema de Inventario y Ventas — Dashboard 2026"/>
  </pivotTables>
  <state minimalRefreshVersion="6" lastRefreshVersion="6" pivotCacheId="1418564642" filterType="dateBetween">
    <selection startDate="2026-01-01T00:00:00" endDate="2026-04-30T00:00:00"/>
    <bounds startDate="2026-01-01T00:00:00" endDate="2027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" xr10:uid="{FDC41965-2ADD-4C20-BBE6-1BCC9ADD3512}" cache="NativeTimeline_Fecha" caption="Fecha" level="2" selectionLevel="2" scrollPosition="2026-01-01T00:00:00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5" Type="http://schemas.microsoft.com/office/2011/relationships/timeline" Target="../timelines/timeline1.xml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C18A4-BD9D-4497-B49A-95CD5A2D105C}">
  <dimension ref="A1:H13"/>
  <sheetViews>
    <sheetView topLeftCell="B1" workbookViewId="0">
      <selection activeCell="G2" sqref="G2:G13"/>
    </sheetView>
  </sheetViews>
  <sheetFormatPr baseColWidth="10" defaultRowHeight="14.4" x14ac:dyDescent="0.3"/>
  <cols>
    <col min="2" max="2" width="17.109375" bestFit="1" customWidth="1"/>
    <col min="4" max="4" width="12.88671875" customWidth="1"/>
    <col min="5" max="5" width="13.33203125" customWidth="1"/>
    <col min="6" max="6" width="15.33203125" customWidth="1"/>
    <col min="7" max="7" width="12" customWidth="1"/>
  </cols>
  <sheetData>
    <row r="1" spans="1:8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7</v>
      </c>
    </row>
    <row r="2" spans="1:8" x14ac:dyDescent="0.3">
      <c r="A2" s="4" t="s">
        <v>8</v>
      </c>
      <c r="B2" s="1" t="s">
        <v>9</v>
      </c>
      <c r="C2" s="1" t="s">
        <v>10</v>
      </c>
      <c r="D2" s="1">
        <v>50</v>
      </c>
      <c r="E2" s="1">
        <v>35</v>
      </c>
      <c r="F2" s="1">
        <v>800</v>
      </c>
      <c r="G2" s="1">
        <f>E2*F2</f>
        <v>28000</v>
      </c>
      <c r="H2" s="5" t="str">
        <f>IF(E2&lt;=20," Stock Critico",IF(E2&lt;=50,"Stock Medio","Stock OK"))</f>
        <v>Stock Medio</v>
      </c>
    </row>
    <row r="3" spans="1:8" x14ac:dyDescent="0.3">
      <c r="A3" s="4" t="s">
        <v>11</v>
      </c>
      <c r="B3" s="1" t="s">
        <v>12</v>
      </c>
      <c r="C3" s="1" t="s">
        <v>13</v>
      </c>
      <c r="D3" s="1">
        <v>200</v>
      </c>
      <c r="E3" s="1">
        <v>180</v>
      </c>
      <c r="F3" s="1">
        <v>15</v>
      </c>
      <c r="G3" s="1">
        <f t="shared" ref="G3:G13" si="0">E3*F3</f>
        <v>2700</v>
      </c>
      <c r="H3" s="5" t="str">
        <f t="shared" ref="H3:H13" si="1">IF(E3&lt;=20," Stock Critico",IF(E3&lt;=50,"Stock Medio","Stock OK"))</f>
        <v>Stock OK</v>
      </c>
    </row>
    <row r="4" spans="1:8" x14ac:dyDescent="0.3">
      <c r="A4" s="4" t="s">
        <v>14</v>
      </c>
      <c r="B4" s="1" t="s">
        <v>15</v>
      </c>
      <c r="C4" s="1" t="s">
        <v>13</v>
      </c>
      <c r="D4" s="1">
        <v>150</v>
      </c>
      <c r="E4" s="1">
        <v>120</v>
      </c>
      <c r="F4" s="1">
        <v>30</v>
      </c>
      <c r="G4" s="1">
        <f t="shared" si="0"/>
        <v>3600</v>
      </c>
      <c r="H4" s="5" t="str">
        <f t="shared" si="1"/>
        <v>Stock OK</v>
      </c>
    </row>
    <row r="5" spans="1:8" x14ac:dyDescent="0.3">
      <c r="A5" s="4" t="s">
        <v>16</v>
      </c>
      <c r="B5" s="1" t="s">
        <v>17</v>
      </c>
      <c r="C5" s="1" t="s">
        <v>10</v>
      </c>
      <c r="D5" s="1">
        <v>40</v>
      </c>
      <c r="E5" s="1">
        <v>28</v>
      </c>
      <c r="F5" s="1">
        <v>200</v>
      </c>
      <c r="G5" s="1">
        <f t="shared" si="0"/>
        <v>5600</v>
      </c>
      <c r="H5" s="5" t="str">
        <f t="shared" si="1"/>
        <v>Stock Medio</v>
      </c>
    </row>
    <row r="6" spans="1:8" x14ac:dyDescent="0.3">
      <c r="A6" s="4" t="s">
        <v>18</v>
      </c>
      <c r="B6" s="1" t="s">
        <v>19</v>
      </c>
      <c r="C6" s="1" t="s">
        <v>10</v>
      </c>
      <c r="D6" s="1">
        <v>60</v>
      </c>
      <c r="E6" s="1">
        <v>45</v>
      </c>
      <c r="F6" s="1">
        <v>350</v>
      </c>
      <c r="G6" s="1">
        <f t="shared" si="0"/>
        <v>15750</v>
      </c>
      <c r="H6" s="5" t="str">
        <f t="shared" si="1"/>
        <v>Stock Medio</v>
      </c>
    </row>
    <row r="7" spans="1:8" x14ac:dyDescent="0.3">
      <c r="A7" s="4" t="s">
        <v>20</v>
      </c>
      <c r="B7" s="1" t="s">
        <v>21</v>
      </c>
      <c r="C7" s="1" t="s">
        <v>13</v>
      </c>
      <c r="D7" s="1">
        <v>100</v>
      </c>
      <c r="E7" s="1">
        <v>85</v>
      </c>
      <c r="F7" s="1">
        <v>45</v>
      </c>
      <c r="G7" s="1">
        <f t="shared" si="0"/>
        <v>3825</v>
      </c>
      <c r="H7" s="5" t="str">
        <f t="shared" si="1"/>
        <v>Stock OK</v>
      </c>
    </row>
    <row r="8" spans="1:8" x14ac:dyDescent="0.3">
      <c r="A8" s="4" t="s">
        <v>22</v>
      </c>
      <c r="B8" s="1" t="s">
        <v>23</v>
      </c>
      <c r="C8" s="1" t="s">
        <v>10</v>
      </c>
      <c r="D8" s="1">
        <v>30</v>
      </c>
      <c r="E8" s="1">
        <v>18</v>
      </c>
      <c r="F8" s="1">
        <v>250</v>
      </c>
      <c r="G8" s="1">
        <f t="shared" si="0"/>
        <v>4500</v>
      </c>
      <c r="H8" s="5" t="str">
        <f t="shared" si="1"/>
        <v xml:space="preserve"> Stock Critico</v>
      </c>
    </row>
    <row r="9" spans="1:8" x14ac:dyDescent="0.3">
      <c r="A9" s="4" t="s">
        <v>24</v>
      </c>
      <c r="B9" s="1" t="s">
        <v>25</v>
      </c>
      <c r="C9" s="1" t="s">
        <v>13</v>
      </c>
      <c r="D9" s="1">
        <v>300</v>
      </c>
      <c r="E9" s="1">
        <v>275</v>
      </c>
      <c r="F9" s="1">
        <v>8</v>
      </c>
      <c r="G9" s="1">
        <f t="shared" si="0"/>
        <v>2200</v>
      </c>
      <c r="H9" s="5" t="str">
        <f t="shared" si="1"/>
        <v>Stock OK</v>
      </c>
    </row>
    <row r="10" spans="1:8" x14ac:dyDescent="0.3">
      <c r="A10" s="4" t="s">
        <v>26</v>
      </c>
      <c r="B10" s="1" t="s">
        <v>27</v>
      </c>
      <c r="C10" s="1" t="s">
        <v>10</v>
      </c>
      <c r="D10" s="1">
        <v>80</v>
      </c>
      <c r="E10" s="1">
        <v>62</v>
      </c>
      <c r="F10" s="1">
        <v>120</v>
      </c>
      <c r="G10" s="1">
        <f t="shared" si="0"/>
        <v>7440</v>
      </c>
      <c r="H10" s="5" t="str">
        <f t="shared" si="1"/>
        <v>Stock OK</v>
      </c>
    </row>
    <row r="11" spans="1:8" x14ac:dyDescent="0.3">
      <c r="A11" s="4" t="s">
        <v>28</v>
      </c>
      <c r="B11" s="1" t="s">
        <v>29</v>
      </c>
      <c r="C11" s="1" t="s">
        <v>13</v>
      </c>
      <c r="D11" s="1">
        <v>250</v>
      </c>
      <c r="E11" s="1">
        <v>230</v>
      </c>
      <c r="F11" s="1">
        <v>12</v>
      </c>
      <c r="G11" s="1">
        <f t="shared" si="0"/>
        <v>2760</v>
      </c>
      <c r="H11" s="5" t="str">
        <f t="shared" si="1"/>
        <v>Stock OK</v>
      </c>
    </row>
    <row r="12" spans="1:8" x14ac:dyDescent="0.3">
      <c r="A12" s="4" t="s">
        <v>30</v>
      </c>
      <c r="B12" s="1" t="s">
        <v>31</v>
      </c>
      <c r="C12" s="1" t="s">
        <v>10</v>
      </c>
      <c r="D12" s="1">
        <v>70</v>
      </c>
      <c r="E12" s="1">
        <v>55</v>
      </c>
      <c r="F12" s="1">
        <v>75</v>
      </c>
      <c r="G12" s="1">
        <f t="shared" si="0"/>
        <v>4125</v>
      </c>
      <c r="H12" s="5" t="str">
        <f t="shared" si="1"/>
        <v>Stock OK</v>
      </c>
    </row>
    <row r="13" spans="1:8" x14ac:dyDescent="0.3">
      <c r="A13" s="9" t="s">
        <v>32</v>
      </c>
      <c r="B13" s="10" t="s">
        <v>33</v>
      </c>
      <c r="C13" s="10" t="s">
        <v>13</v>
      </c>
      <c r="D13" s="10">
        <v>120</v>
      </c>
      <c r="E13" s="10">
        <v>98</v>
      </c>
      <c r="F13" s="10">
        <v>25</v>
      </c>
      <c r="G13" s="10">
        <f t="shared" si="0"/>
        <v>2450</v>
      </c>
      <c r="H13" s="11" t="str">
        <f t="shared" si="1"/>
        <v>Stock OK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9421A-A1D2-4ADC-8D83-407C9D9257BE}">
  <dimension ref="A1:I25"/>
  <sheetViews>
    <sheetView zoomScale="73" zoomScaleNormal="73" workbookViewId="0">
      <selection activeCell="L26" sqref="L26"/>
    </sheetView>
  </sheetViews>
  <sheetFormatPr baseColWidth="10" defaultRowHeight="14.4" x14ac:dyDescent="0.3"/>
  <cols>
    <col min="2" max="2" width="12.88671875" customWidth="1"/>
    <col min="7" max="7" width="13.6640625" bestFit="1" customWidth="1"/>
  </cols>
  <sheetData>
    <row r="1" spans="1:9" x14ac:dyDescent="0.3">
      <c r="A1" t="s">
        <v>34</v>
      </c>
      <c r="B1" t="s">
        <v>35</v>
      </c>
      <c r="C1" t="s">
        <v>1</v>
      </c>
      <c r="D1" t="s">
        <v>2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</row>
    <row r="2" spans="1:9" x14ac:dyDescent="0.3">
      <c r="A2" s="3">
        <v>46023</v>
      </c>
      <c r="B2" t="s">
        <v>8</v>
      </c>
      <c r="C2" t="s">
        <v>9</v>
      </c>
      <c r="D2" t="s">
        <v>10</v>
      </c>
      <c r="E2">
        <v>3</v>
      </c>
      <c r="F2">
        <v>800</v>
      </c>
      <c r="G2">
        <f>E2*F2</f>
        <v>2400</v>
      </c>
      <c r="H2" t="s">
        <v>41</v>
      </c>
      <c r="I2" t="s">
        <v>42</v>
      </c>
    </row>
    <row r="3" spans="1:9" x14ac:dyDescent="0.3">
      <c r="A3" s="3">
        <v>46027</v>
      </c>
      <c r="B3" t="s">
        <v>11</v>
      </c>
      <c r="C3" t="s">
        <v>12</v>
      </c>
      <c r="D3" t="s">
        <v>13</v>
      </c>
      <c r="E3">
        <v>10</v>
      </c>
      <c r="F3">
        <v>15</v>
      </c>
      <c r="G3">
        <f t="shared" ref="G3:G25" si="0">E3*F3</f>
        <v>150</v>
      </c>
      <c r="H3" t="s">
        <v>43</v>
      </c>
      <c r="I3" t="s">
        <v>44</v>
      </c>
    </row>
    <row r="4" spans="1:9" x14ac:dyDescent="0.3">
      <c r="A4" s="3">
        <v>46032</v>
      </c>
      <c r="B4" t="s">
        <v>14</v>
      </c>
      <c r="C4" t="s">
        <v>15</v>
      </c>
      <c r="D4" t="s">
        <v>13</v>
      </c>
      <c r="E4">
        <v>5</v>
      </c>
      <c r="F4">
        <v>30</v>
      </c>
      <c r="G4">
        <f t="shared" si="0"/>
        <v>150</v>
      </c>
      <c r="H4" t="s">
        <v>45</v>
      </c>
      <c r="I4" t="s">
        <v>46</v>
      </c>
    </row>
    <row r="5" spans="1:9" x14ac:dyDescent="0.3">
      <c r="A5" s="3">
        <v>46037</v>
      </c>
      <c r="B5" t="s">
        <v>16</v>
      </c>
      <c r="C5" t="s">
        <v>17</v>
      </c>
      <c r="D5" t="s">
        <v>10</v>
      </c>
      <c r="E5">
        <v>2</v>
      </c>
      <c r="F5">
        <v>200</v>
      </c>
      <c r="G5">
        <f t="shared" si="0"/>
        <v>400</v>
      </c>
      <c r="H5" t="s">
        <v>47</v>
      </c>
      <c r="I5" t="s">
        <v>48</v>
      </c>
    </row>
    <row r="6" spans="1:9" x14ac:dyDescent="0.3">
      <c r="A6" s="3">
        <v>46042</v>
      </c>
      <c r="B6" t="s">
        <v>18</v>
      </c>
      <c r="C6" t="s">
        <v>19</v>
      </c>
      <c r="D6" t="s">
        <v>10</v>
      </c>
      <c r="E6">
        <v>4</v>
      </c>
      <c r="F6">
        <v>350</v>
      </c>
      <c r="G6">
        <f t="shared" si="0"/>
        <v>1400</v>
      </c>
      <c r="H6" t="s">
        <v>41</v>
      </c>
      <c r="I6" t="s">
        <v>42</v>
      </c>
    </row>
    <row r="7" spans="1:9" x14ac:dyDescent="0.3">
      <c r="A7" s="3">
        <v>46047</v>
      </c>
      <c r="B7" t="s">
        <v>20</v>
      </c>
      <c r="C7" t="s">
        <v>21</v>
      </c>
      <c r="D7" t="s">
        <v>13</v>
      </c>
      <c r="E7">
        <v>8</v>
      </c>
      <c r="F7">
        <v>45</v>
      </c>
      <c r="G7">
        <f t="shared" si="0"/>
        <v>360</v>
      </c>
      <c r="H7" t="s">
        <v>43</v>
      </c>
      <c r="I7" t="s">
        <v>44</v>
      </c>
    </row>
    <row r="8" spans="1:9" x14ac:dyDescent="0.3">
      <c r="A8" s="3">
        <v>46054</v>
      </c>
      <c r="B8" t="s">
        <v>22</v>
      </c>
      <c r="C8" t="s">
        <v>23</v>
      </c>
      <c r="D8" t="s">
        <v>10</v>
      </c>
      <c r="E8">
        <v>3</v>
      </c>
      <c r="F8">
        <v>250</v>
      </c>
      <c r="G8">
        <f t="shared" si="0"/>
        <v>750</v>
      </c>
      <c r="H8" t="s">
        <v>45</v>
      </c>
      <c r="I8" t="s">
        <v>46</v>
      </c>
    </row>
    <row r="9" spans="1:9" x14ac:dyDescent="0.3">
      <c r="A9" s="3">
        <v>46058</v>
      </c>
      <c r="B9" t="s">
        <v>24</v>
      </c>
      <c r="C9" t="s">
        <v>25</v>
      </c>
      <c r="D9" t="s">
        <v>13</v>
      </c>
      <c r="E9">
        <v>15</v>
      </c>
      <c r="F9">
        <v>8</v>
      </c>
      <c r="G9">
        <f t="shared" si="0"/>
        <v>120</v>
      </c>
      <c r="H9" t="s">
        <v>47</v>
      </c>
      <c r="I9" t="s">
        <v>48</v>
      </c>
    </row>
    <row r="10" spans="1:9" x14ac:dyDescent="0.3">
      <c r="A10" s="3">
        <v>46063</v>
      </c>
      <c r="B10" t="s">
        <v>26</v>
      </c>
      <c r="C10" t="s">
        <v>27</v>
      </c>
      <c r="D10" t="s">
        <v>10</v>
      </c>
      <c r="E10">
        <v>5</v>
      </c>
      <c r="F10">
        <v>120</v>
      </c>
      <c r="G10">
        <f t="shared" si="0"/>
        <v>600</v>
      </c>
      <c r="H10" t="s">
        <v>41</v>
      </c>
      <c r="I10" t="s">
        <v>42</v>
      </c>
    </row>
    <row r="11" spans="1:9" x14ac:dyDescent="0.3">
      <c r="A11" s="3">
        <v>46068</v>
      </c>
      <c r="B11" t="s">
        <v>28</v>
      </c>
      <c r="C11" t="s">
        <v>29</v>
      </c>
      <c r="D11" t="s">
        <v>13</v>
      </c>
      <c r="E11">
        <v>20</v>
      </c>
      <c r="F11">
        <v>12</v>
      </c>
      <c r="G11">
        <f t="shared" si="0"/>
        <v>240</v>
      </c>
      <c r="H11" t="s">
        <v>43</v>
      </c>
      <c r="I11" t="s">
        <v>44</v>
      </c>
    </row>
    <row r="12" spans="1:9" x14ac:dyDescent="0.3">
      <c r="A12" s="3">
        <v>46073</v>
      </c>
      <c r="B12" t="s">
        <v>30</v>
      </c>
      <c r="C12" t="s">
        <v>31</v>
      </c>
      <c r="D12" t="s">
        <v>10</v>
      </c>
      <c r="E12">
        <v>4</v>
      </c>
      <c r="F12">
        <v>75</v>
      </c>
      <c r="G12">
        <f t="shared" si="0"/>
        <v>300</v>
      </c>
      <c r="H12" t="s">
        <v>45</v>
      </c>
      <c r="I12" t="s">
        <v>46</v>
      </c>
    </row>
    <row r="13" spans="1:9" x14ac:dyDescent="0.3">
      <c r="A13" s="3">
        <v>46078</v>
      </c>
      <c r="B13" t="s">
        <v>32</v>
      </c>
      <c r="C13" t="s">
        <v>33</v>
      </c>
      <c r="D13" t="s">
        <v>13</v>
      </c>
      <c r="E13">
        <v>10</v>
      </c>
      <c r="F13">
        <v>25</v>
      </c>
      <c r="G13">
        <f t="shared" si="0"/>
        <v>250</v>
      </c>
      <c r="H13" t="s">
        <v>47</v>
      </c>
      <c r="I13" t="s">
        <v>48</v>
      </c>
    </row>
    <row r="14" spans="1:9" x14ac:dyDescent="0.3">
      <c r="A14" s="3">
        <v>46082</v>
      </c>
      <c r="B14" t="s">
        <v>8</v>
      </c>
      <c r="C14" t="s">
        <v>9</v>
      </c>
      <c r="D14" t="s">
        <v>10</v>
      </c>
      <c r="E14">
        <v>2</v>
      </c>
      <c r="F14">
        <v>800</v>
      </c>
      <c r="G14">
        <f t="shared" si="0"/>
        <v>1600</v>
      </c>
      <c r="H14" t="s">
        <v>41</v>
      </c>
      <c r="I14" t="s">
        <v>42</v>
      </c>
    </row>
    <row r="15" spans="1:9" x14ac:dyDescent="0.3">
      <c r="A15" s="3">
        <v>46086</v>
      </c>
      <c r="B15" t="s">
        <v>14</v>
      </c>
      <c r="C15" t="s">
        <v>15</v>
      </c>
      <c r="D15" t="s">
        <v>13</v>
      </c>
      <c r="E15">
        <v>8</v>
      </c>
      <c r="F15">
        <v>30</v>
      </c>
      <c r="G15">
        <f t="shared" si="0"/>
        <v>240</v>
      </c>
      <c r="H15" t="s">
        <v>43</v>
      </c>
      <c r="I15" t="s">
        <v>44</v>
      </c>
    </row>
    <row r="16" spans="1:9" x14ac:dyDescent="0.3">
      <c r="A16" s="3">
        <v>46091</v>
      </c>
      <c r="B16" t="s">
        <v>18</v>
      </c>
      <c r="C16" t="s">
        <v>19</v>
      </c>
      <c r="D16" t="s">
        <v>10</v>
      </c>
      <c r="E16">
        <v>3</v>
      </c>
      <c r="F16">
        <v>350</v>
      </c>
      <c r="G16">
        <f t="shared" si="0"/>
        <v>1050</v>
      </c>
      <c r="H16" t="s">
        <v>45</v>
      </c>
      <c r="I16" t="s">
        <v>46</v>
      </c>
    </row>
    <row r="17" spans="1:9" x14ac:dyDescent="0.3">
      <c r="A17" s="3">
        <v>46096</v>
      </c>
      <c r="B17" t="s">
        <v>22</v>
      </c>
      <c r="C17" t="s">
        <v>23</v>
      </c>
      <c r="D17" t="s">
        <v>10</v>
      </c>
      <c r="E17">
        <v>2</v>
      </c>
      <c r="F17">
        <v>250</v>
      </c>
      <c r="G17">
        <f t="shared" si="0"/>
        <v>500</v>
      </c>
      <c r="H17" t="s">
        <v>47</v>
      </c>
      <c r="I17" t="s">
        <v>48</v>
      </c>
    </row>
    <row r="18" spans="1:9" x14ac:dyDescent="0.3">
      <c r="A18" s="3">
        <v>46101</v>
      </c>
      <c r="B18" t="s">
        <v>26</v>
      </c>
      <c r="C18" t="s">
        <v>27</v>
      </c>
      <c r="D18" t="s">
        <v>10</v>
      </c>
      <c r="E18">
        <v>6</v>
      </c>
      <c r="F18">
        <v>120</v>
      </c>
      <c r="G18">
        <f t="shared" si="0"/>
        <v>720</v>
      </c>
      <c r="H18" t="s">
        <v>41</v>
      </c>
      <c r="I18" t="s">
        <v>42</v>
      </c>
    </row>
    <row r="19" spans="1:9" x14ac:dyDescent="0.3">
      <c r="A19" s="3">
        <v>46106</v>
      </c>
      <c r="B19" t="s">
        <v>11</v>
      </c>
      <c r="C19" t="s">
        <v>12</v>
      </c>
      <c r="D19" t="s">
        <v>13</v>
      </c>
      <c r="E19">
        <v>12</v>
      </c>
      <c r="F19">
        <v>15</v>
      </c>
      <c r="G19">
        <f t="shared" si="0"/>
        <v>180</v>
      </c>
      <c r="H19" t="s">
        <v>43</v>
      </c>
      <c r="I19" t="s">
        <v>44</v>
      </c>
    </row>
    <row r="20" spans="1:9" x14ac:dyDescent="0.3">
      <c r="A20" s="3">
        <v>46113</v>
      </c>
      <c r="B20" t="s">
        <v>16</v>
      </c>
      <c r="C20" t="s">
        <v>17</v>
      </c>
      <c r="D20" t="s">
        <v>10</v>
      </c>
      <c r="E20">
        <v>3</v>
      </c>
      <c r="F20">
        <v>200</v>
      </c>
      <c r="G20">
        <f t="shared" si="0"/>
        <v>600</v>
      </c>
      <c r="H20" t="s">
        <v>45</v>
      </c>
      <c r="I20" t="s">
        <v>46</v>
      </c>
    </row>
    <row r="21" spans="1:9" x14ac:dyDescent="0.3">
      <c r="A21" s="3">
        <v>46117</v>
      </c>
      <c r="B21" t="s">
        <v>20</v>
      </c>
      <c r="C21" t="s">
        <v>21</v>
      </c>
      <c r="D21" t="s">
        <v>13</v>
      </c>
      <c r="E21">
        <v>6</v>
      </c>
      <c r="F21">
        <v>45</v>
      </c>
      <c r="G21">
        <f t="shared" si="0"/>
        <v>270</v>
      </c>
      <c r="H21" t="s">
        <v>47</v>
      </c>
      <c r="I21" t="s">
        <v>48</v>
      </c>
    </row>
    <row r="22" spans="1:9" x14ac:dyDescent="0.3">
      <c r="A22" s="3">
        <v>46122</v>
      </c>
      <c r="B22" t="s">
        <v>24</v>
      </c>
      <c r="C22" t="s">
        <v>25</v>
      </c>
      <c r="D22" t="s">
        <v>13</v>
      </c>
      <c r="E22">
        <v>20</v>
      </c>
      <c r="F22">
        <v>8</v>
      </c>
      <c r="G22">
        <f t="shared" si="0"/>
        <v>160</v>
      </c>
      <c r="H22" t="s">
        <v>41</v>
      </c>
      <c r="I22" t="s">
        <v>42</v>
      </c>
    </row>
    <row r="23" spans="1:9" x14ac:dyDescent="0.3">
      <c r="A23" s="3">
        <v>46127</v>
      </c>
      <c r="B23" t="s">
        <v>28</v>
      </c>
      <c r="C23" t="s">
        <v>29</v>
      </c>
      <c r="D23" t="s">
        <v>13</v>
      </c>
      <c r="E23">
        <v>15</v>
      </c>
      <c r="F23">
        <v>12</v>
      </c>
      <c r="G23">
        <f t="shared" si="0"/>
        <v>180</v>
      </c>
      <c r="H23" t="s">
        <v>43</v>
      </c>
      <c r="I23" t="s">
        <v>44</v>
      </c>
    </row>
    <row r="24" spans="1:9" x14ac:dyDescent="0.3">
      <c r="A24" s="3">
        <v>46132</v>
      </c>
      <c r="B24" t="s">
        <v>30</v>
      </c>
      <c r="C24" t="s">
        <v>31</v>
      </c>
      <c r="D24" t="s">
        <v>10</v>
      </c>
      <c r="E24">
        <v>5</v>
      </c>
      <c r="F24">
        <v>75</v>
      </c>
      <c r="G24">
        <f t="shared" si="0"/>
        <v>375</v>
      </c>
      <c r="H24" t="s">
        <v>45</v>
      </c>
      <c r="I24" t="s">
        <v>46</v>
      </c>
    </row>
    <row r="25" spans="1:9" x14ac:dyDescent="0.3">
      <c r="A25" s="3">
        <v>46137</v>
      </c>
      <c r="B25" t="s">
        <v>32</v>
      </c>
      <c r="C25" t="s">
        <v>33</v>
      </c>
      <c r="D25" t="s">
        <v>13</v>
      </c>
      <c r="E25">
        <v>8</v>
      </c>
      <c r="F25">
        <v>25</v>
      </c>
      <c r="G25">
        <f t="shared" si="0"/>
        <v>200</v>
      </c>
      <c r="H25" t="s">
        <v>47</v>
      </c>
      <c r="I25" t="s">
        <v>48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AA2AF-D49F-4A8C-8F26-D71DBFE6B6C2}">
  <dimension ref="A1:E12"/>
  <sheetViews>
    <sheetView workbookViewId="0">
      <selection activeCell="B12" sqref="B12"/>
    </sheetView>
  </sheetViews>
  <sheetFormatPr baseColWidth="10" defaultRowHeight="14.4" x14ac:dyDescent="0.3"/>
  <cols>
    <col min="1" max="1" width="28.33203125" bestFit="1" customWidth="1"/>
    <col min="2" max="2" width="19.33203125" bestFit="1" customWidth="1"/>
  </cols>
  <sheetData>
    <row r="1" spans="1:5" ht="18" x14ac:dyDescent="0.35">
      <c r="A1" s="23" t="s">
        <v>49</v>
      </c>
      <c r="B1" s="23"/>
      <c r="C1" s="23"/>
      <c r="D1" s="23"/>
      <c r="E1" s="23"/>
    </row>
    <row r="3" spans="1:5" x14ac:dyDescent="0.3">
      <c r="A3" s="12" t="s">
        <v>50</v>
      </c>
      <c r="B3" s="12" t="s">
        <v>60</v>
      </c>
    </row>
    <row r="4" spans="1:5" x14ac:dyDescent="0.3">
      <c r="A4" t="s">
        <v>51</v>
      </c>
      <c r="B4">
        <f>COUNTIF(Ventas!B:B, "*P00*")</f>
        <v>18</v>
      </c>
    </row>
    <row r="5" spans="1:5" x14ac:dyDescent="0.3">
      <c r="A5" t="s">
        <v>52</v>
      </c>
      <c r="B5" s="2">
        <f>SUM(Ventas!G:G)</f>
        <v>13195</v>
      </c>
    </row>
    <row r="6" spans="1:5" x14ac:dyDescent="0.3">
      <c r="A6" t="s">
        <v>53</v>
      </c>
      <c r="B6" t="str">
        <f>INDEX(Ventas!C:C,MATCH(MAX(Ventas!E:E),Ventas!E:E,0))</f>
        <v>Memoria USB 64GB</v>
      </c>
    </row>
    <row r="7" spans="1:5" x14ac:dyDescent="0.3">
      <c r="A7" t="s">
        <v>54</v>
      </c>
      <c r="B7" t="str">
        <f>INDEX(Ventas!D:D,MATCH(MAX(Ventas!G:G),Ventas!G:G,0))</f>
        <v>Electrónico</v>
      </c>
    </row>
    <row r="8" spans="1:5" x14ac:dyDescent="0.3">
      <c r="A8" t="s">
        <v>55</v>
      </c>
      <c r="B8" t="str">
        <f>INDEX(Ventas!H:H, MATCH(MAX(Ventas!G:G), Ventas!G:G, 0))</f>
        <v>Carlos</v>
      </c>
    </row>
    <row r="9" spans="1:5" x14ac:dyDescent="0.3">
      <c r="A9" t="s">
        <v>56</v>
      </c>
      <c r="B9">
        <f>COUNTA(Inventario!A:A)-1</f>
        <v>12</v>
      </c>
    </row>
    <row r="10" spans="1:5" x14ac:dyDescent="0.3">
      <c r="A10" t="s">
        <v>57</v>
      </c>
      <c r="B10">
        <f>COUNTIF(Inventario!H:H, " Stock critico")</f>
        <v>1</v>
      </c>
    </row>
    <row r="11" spans="1:5" x14ac:dyDescent="0.3">
      <c r="A11" t="s">
        <v>58</v>
      </c>
      <c r="B11" s="17">
        <f>SUM(Inventario!G:G)</f>
        <v>82950</v>
      </c>
    </row>
    <row r="12" spans="1:5" x14ac:dyDescent="0.3">
      <c r="A12" t="s">
        <v>59</v>
      </c>
      <c r="B12" s="13">
        <f>AVERAGE(Ventas!G:G)</f>
        <v>549.79166666666663</v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74DF6-405E-425F-AD1E-308E022EC567}">
  <dimension ref="A1:D10"/>
  <sheetViews>
    <sheetView workbookViewId="0">
      <selection activeCell="C8" sqref="C8"/>
    </sheetView>
  </sheetViews>
  <sheetFormatPr baseColWidth="10" defaultRowHeight="14.4" x14ac:dyDescent="0.3"/>
  <cols>
    <col min="1" max="1" width="48.33203125" bestFit="1" customWidth="1"/>
    <col min="4" max="4" width="13.33203125" bestFit="1" customWidth="1"/>
  </cols>
  <sheetData>
    <row r="1" spans="1:4" ht="18" x14ac:dyDescent="0.35">
      <c r="A1" s="14" t="s">
        <v>61</v>
      </c>
      <c r="B1" s="14"/>
      <c r="C1" s="14"/>
      <c r="D1" s="14"/>
    </row>
    <row r="3" spans="1:4" x14ac:dyDescent="0.3">
      <c r="A3" s="16" t="s">
        <v>62</v>
      </c>
      <c r="B3" s="16" t="s">
        <v>63</v>
      </c>
      <c r="C3" s="16" t="s">
        <v>64</v>
      </c>
      <c r="D3" s="16" t="s">
        <v>7</v>
      </c>
    </row>
    <row r="4" spans="1:4" x14ac:dyDescent="0.3">
      <c r="A4" s="1" t="s">
        <v>65</v>
      </c>
      <c r="B4" s="1">
        <v>15000</v>
      </c>
      <c r="C4" s="1">
        <f>Resumen!B5</f>
        <v>13195</v>
      </c>
      <c r="D4" s="1" t="str">
        <f>IF(C4&gt;=B4,"Meta Cumplida","Por Debajo")</f>
        <v>Por Debajo</v>
      </c>
    </row>
    <row r="5" spans="1:4" x14ac:dyDescent="0.3">
      <c r="A5" s="1" t="s">
        <v>66</v>
      </c>
      <c r="B5" s="1">
        <v>25</v>
      </c>
      <c r="C5" s="1">
        <f>Resumen!B4</f>
        <v>18</v>
      </c>
      <c r="D5" s="1" t="str">
        <f>IF(C5&gt;=B5,"Meta Cumplida","Por Debajo")</f>
        <v>Por Debajo</v>
      </c>
    </row>
    <row r="6" spans="1:4" x14ac:dyDescent="0.3">
      <c r="A6" s="1" t="s">
        <v>67</v>
      </c>
      <c r="B6" s="1">
        <v>2</v>
      </c>
      <c r="C6" s="1">
        <f>Resumen!B10</f>
        <v>1</v>
      </c>
      <c r="D6" s="1" t="str">
        <f>IF(C6&lt;=B6,"Bajo Control ", "Atencion")</f>
        <v xml:space="preserve">Bajo Control </v>
      </c>
    </row>
    <row r="7" spans="1:4" x14ac:dyDescent="0.3">
      <c r="A7" s="1" t="s">
        <v>68</v>
      </c>
      <c r="B7" s="1">
        <v>5000</v>
      </c>
      <c r="C7" s="1">
        <f>SUMIF(Ventas!H:H, Resumen!B8,Ventas!G:G)</f>
        <v>6880</v>
      </c>
      <c r="D7" s="1" t="str">
        <f>IF(C7&gt;=B7,"Meta Cumplida","Por Debajo")</f>
        <v>Meta Cumplida</v>
      </c>
    </row>
    <row r="8" spans="1:4" x14ac:dyDescent="0.3">
      <c r="A8" s="1" t="s">
        <v>69</v>
      </c>
      <c r="B8" s="1">
        <v>500</v>
      </c>
      <c r="C8" s="15">
        <f>Resumen!B12</f>
        <v>549.79166666666663</v>
      </c>
      <c r="D8" s="1" t="str">
        <f>IF(C8&gt;=B8,"Meta Cumplida","Por Debajo")</f>
        <v>Meta Cumplida</v>
      </c>
    </row>
    <row r="10" spans="1:4" x14ac:dyDescent="0.3">
      <c r="B10">
        <f>C7-B7</f>
        <v>1880</v>
      </c>
    </row>
  </sheetData>
  <conditionalFormatting sqref="D4:D8">
    <cfRule type="containsText" dxfId="2" priority="2" operator="containsText" text="Meta Cumplida">
      <formula>NOT(ISERROR(SEARCH("Meta Cumplida",D4)))</formula>
    </cfRule>
    <cfRule type="containsText" dxfId="1" priority="3" operator="containsText" text="Por Debajo">
      <formula>NOT(ISERROR(SEARCH("Por Debajo",D4)))</formula>
    </cfRule>
  </conditionalFormatting>
  <conditionalFormatting sqref="D6">
    <cfRule type="containsText" dxfId="0" priority="1" operator="containsText" text="Bajo Control">
      <formula>NOT(ISERROR(SEARCH("Bajo Control",D6)))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F1474-7BC3-481F-BB7F-E7BD589D2095}">
  <dimension ref="A1:F34"/>
  <sheetViews>
    <sheetView tabSelected="1" workbookViewId="0">
      <selection activeCell="N16" sqref="N16:N17"/>
    </sheetView>
  </sheetViews>
  <sheetFormatPr baseColWidth="10" defaultRowHeight="14.4" x14ac:dyDescent="0.3"/>
  <cols>
    <col min="1" max="1" width="23.109375" bestFit="1" customWidth="1"/>
    <col min="2" max="2" width="21.44140625" customWidth="1"/>
    <col min="3" max="4" width="5.77734375" bestFit="1" customWidth="1"/>
    <col min="5" max="5" width="5" bestFit="1" customWidth="1"/>
    <col min="6" max="6" width="11.88671875" bestFit="1" customWidth="1"/>
  </cols>
  <sheetData>
    <row r="1" spans="1:6" ht="15.6" x14ac:dyDescent="0.3">
      <c r="A1" s="21" t="s">
        <v>75</v>
      </c>
      <c r="B1" s="21"/>
      <c r="C1" s="21"/>
      <c r="D1" s="21"/>
    </row>
    <row r="3" spans="1:6" x14ac:dyDescent="0.3">
      <c r="A3" s="18" t="s">
        <v>34</v>
      </c>
      <c r="B3" t="s">
        <v>74</v>
      </c>
    </row>
    <row r="5" spans="1:6" x14ac:dyDescent="0.3">
      <c r="A5" s="18" t="s">
        <v>73</v>
      </c>
      <c r="B5" s="18" t="s">
        <v>72</v>
      </c>
    </row>
    <row r="6" spans="1:6" x14ac:dyDescent="0.3">
      <c r="A6" s="18" t="s">
        <v>70</v>
      </c>
      <c r="B6" t="s">
        <v>46</v>
      </c>
      <c r="C6" t="s">
        <v>42</v>
      </c>
      <c r="D6" t="s">
        <v>48</v>
      </c>
      <c r="E6" t="s">
        <v>44</v>
      </c>
      <c r="F6" t="s">
        <v>71</v>
      </c>
    </row>
    <row r="7" spans="1:6" x14ac:dyDescent="0.3">
      <c r="A7" s="19" t="s">
        <v>13</v>
      </c>
      <c r="B7" s="24">
        <v>150</v>
      </c>
      <c r="C7" s="24">
        <v>160</v>
      </c>
      <c r="D7" s="24">
        <v>840</v>
      </c>
      <c r="E7" s="24">
        <v>1350</v>
      </c>
      <c r="F7" s="24">
        <v>2500</v>
      </c>
    </row>
    <row r="8" spans="1:6" x14ac:dyDescent="0.3">
      <c r="A8" s="20" t="s">
        <v>47</v>
      </c>
      <c r="B8" s="24"/>
      <c r="C8" s="24"/>
      <c r="D8" s="24">
        <v>840</v>
      </c>
      <c r="E8" s="24"/>
      <c r="F8" s="24">
        <v>840</v>
      </c>
    </row>
    <row r="9" spans="1:6" x14ac:dyDescent="0.3">
      <c r="A9" s="22" t="s">
        <v>21</v>
      </c>
      <c r="B9" s="24"/>
      <c r="C9" s="24"/>
      <c r="D9" s="24">
        <v>270</v>
      </c>
      <c r="E9" s="24"/>
      <c r="F9" s="24">
        <v>270</v>
      </c>
    </row>
    <row r="10" spans="1:6" x14ac:dyDescent="0.3">
      <c r="A10" s="22" t="s">
        <v>25</v>
      </c>
      <c r="B10" s="24"/>
      <c r="C10" s="24"/>
      <c r="D10" s="24">
        <v>120</v>
      </c>
      <c r="E10" s="24"/>
      <c r="F10" s="24">
        <v>120</v>
      </c>
    </row>
    <row r="11" spans="1:6" x14ac:dyDescent="0.3">
      <c r="A11" s="22" t="s">
        <v>33</v>
      </c>
      <c r="B11" s="24"/>
      <c r="C11" s="24"/>
      <c r="D11" s="24">
        <v>450</v>
      </c>
      <c r="E11" s="24"/>
      <c r="F11" s="24">
        <v>450</v>
      </c>
    </row>
    <row r="12" spans="1:6" x14ac:dyDescent="0.3">
      <c r="A12" s="20" t="s">
        <v>41</v>
      </c>
      <c r="B12" s="24"/>
      <c r="C12" s="24">
        <v>160</v>
      </c>
      <c r="D12" s="24"/>
      <c r="E12" s="24"/>
      <c r="F12" s="24">
        <v>160</v>
      </c>
    </row>
    <row r="13" spans="1:6" x14ac:dyDescent="0.3">
      <c r="A13" s="22" t="s">
        <v>25</v>
      </c>
      <c r="B13" s="24"/>
      <c r="C13" s="24">
        <v>160</v>
      </c>
      <c r="D13" s="24"/>
      <c r="E13" s="24"/>
      <c r="F13" s="24">
        <v>160</v>
      </c>
    </row>
    <row r="14" spans="1:6" x14ac:dyDescent="0.3">
      <c r="A14" s="20" t="s">
        <v>43</v>
      </c>
      <c r="B14" s="24"/>
      <c r="C14" s="24"/>
      <c r="D14" s="24"/>
      <c r="E14" s="24">
        <v>1350</v>
      </c>
      <c r="F14" s="24">
        <v>1350</v>
      </c>
    </row>
    <row r="15" spans="1:6" x14ac:dyDescent="0.3">
      <c r="A15" s="22" t="s">
        <v>21</v>
      </c>
      <c r="B15" s="24"/>
      <c r="C15" s="24"/>
      <c r="D15" s="24"/>
      <c r="E15" s="24">
        <v>360</v>
      </c>
      <c r="F15" s="24">
        <v>360</v>
      </c>
    </row>
    <row r="16" spans="1:6" x14ac:dyDescent="0.3">
      <c r="A16" s="22" t="s">
        <v>29</v>
      </c>
      <c r="B16" s="24"/>
      <c r="C16" s="24"/>
      <c r="D16" s="24"/>
      <c r="E16" s="24">
        <v>420</v>
      </c>
      <c r="F16" s="24">
        <v>420</v>
      </c>
    </row>
    <row r="17" spans="1:6" x14ac:dyDescent="0.3">
      <c r="A17" s="22" t="s">
        <v>12</v>
      </c>
      <c r="B17" s="24"/>
      <c r="C17" s="24"/>
      <c r="D17" s="24"/>
      <c r="E17" s="24">
        <v>330</v>
      </c>
      <c r="F17" s="24">
        <v>330</v>
      </c>
    </row>
    <row r="18" spans="1:6" x14ac:dyDescent="0.3">
      <c r="A18" s="22" t="s">
        <v>15</v>
      </c>
      <c r="B18" s="24"/>
      <c r="C18" s="24"/>
      <c r="D18" s="24"/>
      <c r="E18" s="24">
        <v>240</v>
      </c>
      <c r="F18" s="24">
        <v>240</v>
      </c>
    </row>
    <row r="19" spans="1:6" x14ac:dyDescent="0.3">
      <c r="A19" s="20" t="s">
        <v>45</v>
      </c>
      <c r="B19" s="24">
        <v>150</v>
      </c>
      <c r="C19" s="24"/>
      <c r="D19" s="24"/>
      <c r="E19" s="24"/>
      <c r="F19" s="24">
        <v>150</v>
      </c>
    </row>
    <row r="20" spans="1:6" x14ac:dyDescent="0.3">
      <c r="A20" s="22" t="s">
        <v>15</v>
      </c>
      <c r="B20" s="24">
        <v>150</v>
      </c>
      <c r="C20" s="24"/>
      <c r="D20" s="24"/>
      <c r="E20" s="24"/>
      <c r="F20" s="24">
        <v>150</v>
      </c>
    </row>
    <row r="21" spans="1:6" x14ac:dyDescent="0.3">
      <c r="A21" s="19" t="s">
        <v>10</v>
      </c>
      <c r="B21" s="24">
        <v>3075</v>
      </c>
      <c r="C21" s="24">
        <v>6720</v>
      </c>
      <c r="D21" s="24">
        <v>900</v>
      </c>
      <c r="E21" s="24"/>
      <c r="F21" s="24">
        <v>10695</v>
      </c>
    </row>
    <row r="22" spans="1:6" x14ac:dyDescent="0.3">
      <c r="A22" s="20" t="s">
        <v>47</v>
      </c>
      <c r="B22" s="24"/>
      <c r="C22" s="24"/>
      <c r="D22" s="24">
        <v>900</v>
      </c>
      <c r="E22" s="24"/>
      <c r="F22" s="24">
        <v>900</v>
      </c>
    </row>
    <row r="23" spans="1:6" x14ac:dyDescent="0.3">
      <c r="A23" s="22" t="s">
        <v>23</v>
      </c>
      <c r="B23" s="24"/>
      <c r="C23" s="24"/>
      <c r="D23" s="24">
        <v>500</v>
      </c>
      <c r="E23" s="24"/>
      <c r="F23" s="24">
        <v>500</v>
      </c>
    </row>
    <row r="24" spans="1:6" x14ac:dyDescent="0.3">
      <c r="A24" s="22" t="s">
        <v>17</v>
      </c>
      <c r="B24" s="24"/>
      <c r="C24" s="24"/>
      <c r="D24" s="24">
        <v>400</v>
      </c>
      <c r="E24" s="24"/>
      <c r="F24" s="24">
        <v>400</v>
      </c>
    </row>
    <row r="25" spans="1:6" x14ac:dyDescent="0.3">
      <c r="A25" s="20" t="s">
        <v>41</v>
      </c>
      <c r="B25" s="24"/>
      <c r="C25" s="24">
        <v>6720</v>
      </c>
      <c r="D25" s="24"/>
      <c r="E25" s="24"/>
      <c r="F25" s="24">
        <v>6720</v>
      </c>
    </row>
    <row r="26" spans="1:6" x14ac:dyDescent="0.3">
      <c r="A26" s="22" t="s">
        <v>27</v>
      </c>
      <c r="B26" s="24"/>
      <c r="C26" s="24">
        <v>1320</v>
      </c>
      <c r="D26" s="24"/>
      <c r="E26" s="24"/>
      <c r="F26" s="24">
        <v>1320</v>
      </c>
    </row>
    <row r="27" spans="1:6" x14ac:dyDescent="0.3">
      <c r="A27" s="22" t="s">
        <v>9</v>
      </c>
      <c r="B27" s="24"/>
      <c r="C27" s="24">
        <v>4000</v>
      </c>
      <c r="D27" s="24"/>
      <c r="E27" s="24"/>
      <c r="F27" s="24">
        <v>4000</v>
      </c>
    </row>
    <row r="28" spans="1:6" x14ac:dyDescent="0.3">
      <c r="A28" s="22" t="s">
        <v>19</v>
      </c>
      <c r="B28" s="24"/>
      <c r="C28" s="24">
        <v>1400</v>
      </c>
      <c r="D28" s="24"/>
      <c r="E28" s="24"/>
      <c r="F28" s="24">
        <v>1400</v>
      </c>
    </row>
    <row r="29" spans="1:6" x14ac:dyDescent="0.3">
      <c r="A29" s="20" t="s">
        <v>45</v>
      </c>
      <c r="B29" s="24">
        <v>3075</v>
      </c>
      <c r="C29" s="24"/>
      <c r="D29" s="24"/>
      <c r="E29" s="24"/>
      <c r="F29" s="24">
        <v>3075</v>
      </c>
    </row>
    <row r="30" spans="1:6" x14ac:dyDescent="0.3">
      <c r="A30" s="22" t="s">
        <v>23</v>
      </c>
      <c r="B30" s="24">
        <v>750</v>
      </c>
      <c r="C30" s="24"/>
      <c r="D30" s="24"/>
      <c r="E30" s="24"/>
      <c r="F30" s="24">
        <v>750</v>
      </c>
    </row>
    <row r="31" spans="1:6" x14ac:dyDescent="0.3">
      <c r="A31" s="22" t="s">
        <v>17</v>
      </c>
      <c r="B31" s="24">
        <v>600</v>
      </c>
      <c r="C31" s="24"/>
      <c r="D31" s="24"/>
      <c r="E31" s="24"/>
      <c r="F31" s="24">
        <v>600</v>
      </c>
    </row>
    <row r="32" spans="1:6" x14ac:dyDescent="0.3">
      <c r="A32" s="22" t="s">
        <v>19</v>
      </c>
      <c r="B32" s="24">
        <v>1050</v>
      </c>
      <c r="C32" s="24"/>
      <c r="D32" s="24"/>
      <c r="E32" s="24"/>
      <c r="F32" s="24">
        <v>1050</v>
      </c>
    </row>
    <row r="33" spans="1:6" x14ac:dyDescent="0.3">
      <c r="A33" s="22" t="s">
        <v>31</v>
      </c>
      <c r="B33" s="24">
        <v>675</v>
      </c>
      <c r="C33" s="24"/>
      <c r="D33" s="24"/>
      <c r="E33" s="24"/>
      <c r="F33" s="24">
        <v>675</v>
      </c>
    </row>
    <row r="34" spans="1:6" x14ac:dyDescent="0.3">
      <c r="A34" s="19" t="s">
        <v>71</v>
      </c>
      <c r="B34" s="24">
        <v>3225</v>
      </c>
      <c r="C34" s="24">
        <v>6880</v>
      </c>
      <c r="D34" s="24">
        <v>1740</v>
      </c>
      <c r="E34" s="24">
        <v>1350</v>
      </c>
      <c r="F34" s="24">
        <v>13195</v>
      </c>
    </row>
  </sheetData>
  <pageMargins left="0.7" right="0.7" top="0.75" bottom="0.75" header="0.3" footer="0.3"/>
  <pageSetup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  <ext xmlns:x15="http://schemas.microsoft.com/office/spreadsheetml/2010/11/main" uri="{7E03D99C-DC04-49d9-9315-930204A7B6E9}">
      <x15:timelineRefs>
        <x15:timelineRef r:id="rId5"/>
      </x15:timeline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Inventario</vt:lpstr>
      <vt:lpstr>Ventas</vt:lpstr>
      <vt:lpstr>Resumen</vt:lpstr>
      <vt:lpstr>KPIs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Villar</dc:creator>
  <cp:lastModifiedBy>Edwin Villar</cp:lastModifiedBy>
  <cp:lastPrinted>2026-07-08T04:33:51Z</cp:lastPrinted>
  <dcterms:created xsi:type="dcterms:W3CDTF">2026-07-07T21:23:36Z</dcterms:created>
  <dcterms:modified xsi:type="dcterms:W3CDTF">2026-07-08T17:50:35Z</dcterms:modified>
</cp:coreProperties>
</file>