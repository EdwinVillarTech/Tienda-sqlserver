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1d86eecf8daf4f0d/Documents/SQL Server Management Studio 22/Tienda-sqlserver/"/>
    </mc:Choice>
  </mc:AlternateContent>
  <xr:revisionPtr revIDLastSave="2" documentId="8_{425BE88E-DD11-4725-9F8A-ED61CC068824}" xr6:coauthVersionLast="47" xr6:coauthVersionMax="47" xr10:uidLastSave="{BB3289E9-4723-45D6-B21C-8625D1AEE1B0}"/>
  <bookViews>
    <workbookView xWindow="408" yWindow="0" windowWidth="12060" windowHeight="12240" firstSheet="2" activeTab="3" xr2:uid="{F9C95AB6-D8D0-4991-A9A9-CFD9B64CB56C}"/>
  </bookViews>
  <sheets>
    <sheet name="Vendedor con mas ventas" sheetId="4" r:id="rId1"/>
    <sheet name="Datos" sheetId="1" r:id="rId2"/>
    <sheet name="Resumen" sheetId="3" r:id="rId3"/>
    <sheet name="KPIs" sheetId="5" r:id="rId4"/>
    <sheet name="Dashboard" sheetId="6" r:id="rId5"/>
    <sheet name="Macro" sheetId="10" r:id="rId6"/>
  </sheets>
  <definedNames>
    <definedName name="NativeTimeline_Fecha">#N/A</definedName>
    <definedName name="Slicer_Producto">#N/A</definedName>
    <definedName name="Slicer_Region">#N/A</definedName>
    <definedName name="Slicer_Vendedo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5" l="1"/>
  <c r="B12" i="5"/>
  <c r="C5" i="5"/>
  <c r="B11" i="5" s="1"/>
  <c r="D7" i="5"/>
  <c r="B5" i="3"/>
  <c r="C7" i="5" s="1"/>
  <c r="H4" i="1"/>
  <c r="H5" i="1"/>
  <c r="B7" i="3" s="1"/>
  <c r="H6" i="1"/>
  <c r="H7" i="1"/>
  <c r="H8" i="1"/>
  <c r="H9" i="1"/>
  <c r="H10" i="1"/>
  <c r="H11" i="1"/>
  <c r="H12" i="1"/>
  <c r="H13" i="1"/>
  <c r="H14" i="1"/>
  <c r="H15" i="1"/>
  <c r="H16" i="1"/>
  <c r="H17" i="1"/>
  <c r="H18" i="1"/>
  <c r="H19" i="1"/>
  <c r="H20" i="1"/>
  <c r="H21" i="1"/>
  <c r="H22" i="1"/>
  <c r="H23" i="1"/>
  <c r="H24" i="1"/>
  <c r="H25" i="1"/>
  <c r="H26" i="1"/>
  <c r="H27" i="1"/>
  <c r="D9" i="5"/>
  <c r="C9" i="5"/>
  <c r="B4" i="3"/>
  <c r="C6" i="5" s="1"/>
  <c r="D6" i="5" s="1"/>
  <c r="B3" i="3"/>
  <c r="B6" i="3"/>
  <c r="D8" i="5" l="1"/>
  <c r="D5"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CD7C2D-A82E-44C0-A3A7-0636726E23D5}" keepAlive="1" name="Query - Table3" description="Connection to the 'Table3' query in the workbook." type="5" refreshedVersion="0" background="1">
    <dbPr connection="Provider=Microsoft.Mashup.OleDb.1;Data Source=$Workbook$;Location=Table3;Extended Properties=&quot;&quot;" command="SELECT * FROM [Table3]"/>
  </connection>
</connections>
</file>

<file path=xl/sharedStrings.xml><?xml version="1.0" encoding="utf-8"?>
<sst xmlns="http://schemas.openxmlformats.org/spreadsheetml/2006/main" count="156" uniqueCount="52">
  <si>
    <t xml:space="preserve">Sistema de Ventas Empresarial </t>
  </si>
  <si>
    <t>Fecha</t>
  </si>
  <si>
    <t>Vendedor</t>
  </si>
  <si>
    <t>Region</t>
  </si>
  <si>
    <t>Producto</t>
  </si>
  <si>
    <t>Cantidad</t>
  </si>
  <si>
    <t>Precio</t>
  </si>
  <si>
    <t>Categoria</t>
  </si>
  <si>
    <t>Carlos</t>
  </si>
  <si>
    <t>Norte</t>
  </si>
  <si>
    <t>Laptop</t>
  </si>
  <si>
    <t>Maria</t>
  </si>
  <si>
    <t>Sur</t>
  </si>
  <si>
    <t>Mouse</t>
  </si>
  <si>
    <t>Accesorio</t>
  </si>
  <si>
    <t>Pedro</t>
  </si>
  <si>
    <t>Este</t>
  </si>
  <si>
    <t>Teclado</t>
  </si>
  <si>
    <t>Ana</t>
  </si>
  <si>
    <t>Oeste</t>
  </si>
  <si>
    <t>Monitor</t>
  </si>
  <si>
    <t>Tablet</t>
  </si>
  <si>
    <t>Total</t>
  </si>
  <si>
    <t xml:space="preserve">Total de Ingresos </t>
  </si>
  <si>
    <t>Total Accesorios</t>
  </si>
  <si>
    <t>Vendedor con mas Ventas</t>
  </si>
  <si>
    <t>Total Transacciones</t>
  </si>
  <si>
    <t xml:space="preserve">Promedio de ventas </t>
  </si>
  <si>
    <t>Indicadores</t>
  </si>
  <si>
    <t>Electronico</t>
  </si>
  <si>
    <t>Row Labels</t>
  </si>
  <si>
    <t>Grand Total</t>
  </si>
  <si>
    <t>Sum of Total</t>
  </si>
  <si>
    <t>Sistema de Ventas KPI</t>
  </si>
  <si>
    <t>KPI</t>
  </si>
  <si>
    <t>Ingresos Totales</t>
  </si>
  <si>
    <t>Accesorios Totales</t>
  </si>
  <si>
    <t>Totales Transacciones</t>
  </si>
  <si>
    <t>Meta</t>
  </si>
  <si>
    <t xml:space="preserve">Real </t>
  </si>
  <si>
    <t>Estado</t>
  </si>
  <si>
    <t>Margen de Ventas %</t>
  </si>
  <si>
    <t>ene</t>
  </si>
  <si>
    <t>feb</t>
  </si>
  <si>
    <t>mar</t>
  </si>
  <si>
    <t>abr</t>
  </si>
  <si>
    <t>Sum of Cantidad</t>
  </si>
  <si>
    <t>Sum of Precio</t>
  </si>
  <si>
    <t>Sum of Ventas 3, 2026</t>
  </si>
  <si>
    <t>Sistema Macro</t>
  </si>
  <si>
    <t>Esta macro aplica formato automático a todas las hojas del sistema</t>
  </si>
  <si>
    <t>Instrucciones: Click en el botón "Aplicar Formato" para ejecutar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</si>
</sst>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XDR&quot;* #,##0.00_-;\-&quot;XDR&quot;* #,##0.00_-;_-&quot;XDR&quot;* &quot;-&quot;??_-;_-@_-"/>
    <numFmt numFmtId="164" formatCode="dd/mm/yyyy;@"/>
    <numFmt numFmtId="165" formatCode="_-[$$-2C0A]\ * #,##0.00_-;\-[$$-2C0A]\ * #,##0.00_-;_-[$$-2C0A]\ * &quot;-&quot;??_-;_-@_-"/>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Times New Roman"/>
      <family val="1"/>
    </font>
    <font>
      <b/>
      <sz val="11"/>
      <color theme="0"/>
      <name val="Times New Roman"/>
      <family val="1"/>
    </font>
    <font>
      <b/>
      <sz val="14"/>
      <color rgb="FFFF0000"/>
      <name val="Times New Roman"/>
      <family val="1"/>
    </font>
    <font>
      <b/>
      <sz val="14"/>
      <color theme="2"/>
      <name val="Times New Roman"/>
      <family val="1"/>
    </font>
    <font>
      <b/>
      <sz val="16"/>
      <color theme="2"/>
      <name val="Times New Roman"/>
      <family val="1"/>
    </font>
    <font>
      <b/>
      <sz val="11"/>
      <color theme="1"/>
      <name val="Times New Roman"/>
      <family val="1"/>
    </font>
    <font>
      <b/>
      <sz val="14"/>
      <color theme="0"/>
      <name val="Calibri"/>
      <family val="2"/>
      <scheme val="minor"/>
    </font>
    <font>
      <sz val="11"/>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7"/>
        <bgColor indexed="64"/>
      </patternFill>
    </fill>
    <fill>
      <patternFill patternType="solid">
        <fgColor theme="9"/>
        <bgColor indexed="64"/>
      </patternFill>
    </fill>
    <fill>
      <patternFill patternType="solid">
        <fgColor rgb="FF00B0F0"/>
        <bgColor indexed="64"/>
      </patternFill>
    </fill>
    <fill>
      <patternFill patternType="solid">
        <fgColor rgb="FFFF0000"/>
        <bgColor indexed="64"/>
      </patternFill>
    </fill>
    <fill>
      <patternFill patternType="solid">
        <fgColor theme="8" tint="0.7999511703848384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31">
    <xf numFmtId="0" fontId="0" fillId="0" borderId="0" xfId="0"/>
    <xf numFmtId="164" fontId="0" fillId="0" borderId="0" xfId="0" applyNumberFormat="1"/>
    <xf numFmtId="0" fontId="3" fillId="0" borderId="0" xfId="0" applyFont="1"/>
    <xf numFmtId="164" fontId="3" fillId="0" borderId="0" xfId="0" applyNumberFormat="1" applyFont="1"/>
    <xf numFmtId="4" fontId="0" fillId="0" borderId="0" xfId="0" applyNumberFormat="1"/>
    <xf numFmtId="4" fontId="3" fillId="0" borderId="0" xfId="0" applyNumberFormat="1" applyFont="1"/>
    <xf numFmtId="0" fontId="0" fillId="0" borderId="0" xfId="0" pivotButton="1"/>
    <xf numFmtId="0" fontId="0" fillId="0" borderId="0" xfId="0" applyAlignment="1">
      <alignment horizontal="left"/>
    </xf>
    <xf numFmtId="0" fontId="5" fillId="2" borderId="0" xfId="0" applyFont="1" applyFill="1"/>
    <xf numFmtId="0" fontId="8" fillId="0" borderId="1" xfId="0" applyFont="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4" fillId="5" borderId="1" xfId="0" applyFont="1" applyFill="1" applyBorder="1"/>
    <xf numFmtId="165" fontId="3" fillId="0" borderId="0" xfId="1" applyNumberFormat="1" applyFont="1"/>
    <xf numFmtId="165" fontId="0" fillId="0" borderId="0" xfId="1" applyNumberFormat="1" applyFont="1"/>
    <xf numFmtId="165" fontId="8" fillId="3" borderId="1" xfId="1" applyNumberFormat="1" applyFont="1" applyFill="1" applyBorder="1"/>
    <xf numFmtId="0" fontId="9" fillId="6" borderId="0" xfId="0" applyFont="1" applyFill="1"/>
    <xf numFmtId="0" fontId="8" fillId="0" borderId="0" xfId="0" applyFont="1"/>
    <xf numFmtId="165" fontId="8" fillId="0" borderId="0" xfId="1" applyNumberFormat="1" applyFont="1"/>
    <xf numFmtId="0" fontId="8" fillId="7" borderId="1" xfId="0" applyFont="1" applyFill="1" applyBorder="1"/>
    <xf numFmtId="0" fontId="3" fillId="7" borderId="1" xfId="0" applyFont="1" applyFill="1" applyBorder="1"/>
    <xf numFmtId="9" fontId="3" fillId="7" borderId="1" xfId="0" applyNumberFormat="1" applyFont="1" applyFill="1" applyBorder="1"/>
    <xf numFmtId="0" fontId="6" fillId="4" borderId="0" xfId="0" applyFont="1" applyFill="1" applyAlignment="1">
      <alignment horizontal="left"/>
    </xf>
    <xf numFmtId="0" fontId="7" fillId="4" borderId="0" xfId="0" applyFont="1" applyFill="1" applyAlignment="1">
      <alignment horizontal="left"/>
    </xf>
    <xf numFmtId="0" fontId="6" fillId="5" borderId="0" xfId="0" applyFont="1" applyFill="1" applyAlignment="1">
      <alignment horizontal="left"/>
    </xf>
    <xf numFmtId="0" fontId="2" fillId="0" borderId="0" xfId="0" applyFont="1" applyBorder="1"/>
    <xf numFmtId="0" fontId="0" fillId="0" borderId="0" xfId="0" applyBorder="1"/>
    <xf numFmtId="0" fontId="8" fillId="3" borderId="1" xfId="1" applyNumberFormat="1" applyFont="1" applyFill="1" applyBorder="1"/>
    <xf numFmtId="49" fontId="3" fillId="7" borderId="1" xfId="0" applyNumberFormat="1" applyFont="1" applyFill="1" applyBorder="1" applyAlignment="1">
      <alignment horizontal="right"/>
    </xf>
    <xf numFmtId="9" fontId="3" fillId="7" borderId="1" xfId="2" applyFont="1" applyFill="1" applyBorder="1"/>
  </cellXfs>
  <cellStyles count="3">
    <cellStyle name="Currency" xfId="1" builtinId="4"/>
    <cellStyle name="Normal" xfId="0" builtinId="0"/>
    <cellStyle name="Percent" xfId="2" builtinId="5"/>
  </cellStyles>
  <dxfs count="17">
    <dxf>
      <fill>
        <patternFill>
          <bgColor rgb="FF00B050"/>
        </patternFill>
      </fill>
    </dxf>
    <dxf>
      <fill>
        <patternFill>
          <bgColor rgb="FF92D050"/>
        </patternFill>
      </fill>
    </dxf>
    <dxf>
      <fill>
        <patternFill>
          <bgColor rgb="FF00B050"/>
        </patternFill>
      </fill>
    </dxf>
    <dxf>
      <fill>
        <patternFill>
          <bgColor rgb="FF92D050"/>
        </patternFill>
      </fill>
    </dxf>
    <dxf>
      <fill>
        <patternFill>
          <bgColor rgb="FF00B050"/>
        </patternFill>
      </fill>
    </dxf>
    <dxf>
      <fill>
        <patternFill>
          <bgColor rgb="FF00B050"/>
        </patternFill>
      </fill>
    </dxf>
    <dxf>
      <fill>
        <patternFill>
          <bgColor rgb="FFFF0000"/>
        </patternFill>
      </fill>
    </dxf>
    <dxf>
      <font>
        <strike val="0"/>
        <outline val="0"/>
        <shadow val="0"/>
        <u val="none"/>
        <vertAlign val="baseline"/>
        <sz val="11"/>
        <color theme="1"/>
        <name val="Times New Roman"/>
        <family val="1"/>
        <scheme val="none"/>
      </font>
      <numFmt numFmtId="4" formatCode="#,##0.00"/>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numFmt numFmtId="0" formatCode="General"/>
    </dxf>
    <dxf>
      <font>
        <strike val="0"/>
        <outline val="0"/>
        <shadow val="0"/>
        <u val="none"/>
        <vertAlign val="baseline"/>
        <sz val="11"/>
        <color theme="1"/>
        <name val="Times New Roman"/>
        <family val="1"/>
        <scheme val="none"/>
      </font>
      <numFmt numFmtId="164" formatCode="dd/mm/yyyy;@"/>
    </dxf>
    <dxf>
      <font>
        <strike val="0"/>
        <outline val="0"/>
        <shadow val="0"/>
        <u val="none"/>
        <vertAlign val="baseline"/>
        <sz val="11"/>
        <color theme="1"/>
        <name val="Times New Roman"/>
        <family val="1"/>
        <scheme val="none"/>
      </font>
    </dxf>
    <dxf>
      <font>
        <strike val="0"/>
        <outline val="0"/>
        <shadow val="0"/>
        <u val="none"/>
        <vertAlign val="baseline"/>
        <sz val="11"/>
        <color theme="1"/>
        <name val="Times New Roman"/>
        <family val="1"/>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[Proyecto-Grande-Solo-2026.xlsm]Dashboard!Ventas 3, 2026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Sum of Cantidad</c:v>
                </c:pt>
              </c:strCache>
            </c:strRef>
          </c:tx>
          <c:spPr>
            <a:solidFill>
              <a:schemeClr val="accent1"/>
            </a:solidFill>
            <a:ln>
              <a:noFill/>
            </a:ln>
            <a:effectLst/>
          </c:spPr>
          <c:invertIfNegative val="0"/>
          <c:cat>
            <c:multiLvlStrRef>
              <c:f>Dashboard!$A$4:$A$22</c:f>
              <c:multiLvlStrCache>
                <c:ptCount val="5"/>
                <c:lvl>
                  <c:pt idx="0">
                    <c:v>Norte</c:v>
                  </c:pt>
                  <c:pt idx="1">
                    <c:v>Norte</c:v>
                  </c:pt>
                  <c:pt idx="2">
                    <c:v>Norte</c:v>
                  </c:pt>
                  <c:pt idx="3">
                    <c:v>Norte</c:v>
                  </c:pt>
                  <c:pt idx="4">
                    <c:v>Norte</c:v>
                  </c:pt>
                </c:lvl>
                <c:lvl>
                  <c:pt idx="0">
                    <c:v>Electronico</c:v>
                  </c:pt>
                  <c:pt idx="1">
                    <c:v>Accesorio</c:v>
                  </c:pt>
                  <c:pt idx="2">
                    <c:v>Accesorio</c:v>
                  </c:pt>
                  <c:pt idx="3">
                    <c:v>Electronico</c:v>
                  </c:pt>
                  <c:pt idx="4">
                    <c:v>Electronico</c:v>
                  </c:pt>
                </c:lvl>
                <c:lvl>
                  <c:pt idx="0">
                    <c:v>Carlos</c:v>
                  </c:pt>
                  <c:pt idx="1">
                    <c:v>Carlos</c:v>
                  </c:pt>
                  <c:pt idx="2">
                    <c:v>Carlos</c:v>
                  </c:pt>
                  <c:pt idx="4">
                    <c:v>Carlos</c:v>
                  </c:pt>
                </c:lvl>
                <c:lvl>
                  <c:pt idx="0">
                    <c:v>ene</c:v>
                  </c:pt>
                  <c:pt idx="1">
                    <c:v>feb</c:v>
                  </c:pt>
                  <c:pt idx="2">
                    <c:v>mar</c:v>
                  </c:pt>
                  <c:pt idx="4">
                    <c:v>abr</c:v>
                  </c:pt>
                </c:lvl>
              </c:multiLvlStrCache>
            </c:multiLvlStrRef>
          </c:cat>
          <c:val>
            <c:numRef>
              <c:f>Dashboard!$B$4:$B$22</c:f>
              <c:numCache>
                <c:formatCode>General</c:formatCode>
                <c:ptCount val="5"/>
                <c:pt idx="0">
                  <c:v>12</c:v>
                </c:pt>
                <c:pt idx="1">
                  <c:v>15</c:v>
                </c:pt>
                <c:pt idx="2">
                  <c:v>18</c:v>
                </c:pt>
                <c:pt idx="3">
                  <c:v>9</c:v>
                </c:pt>
                <c:pt idx="4">
                  <c:v>3</c:v>
                </c:pt>
              </c:numCache>
            </c:numRef>
          </c:val>
          <c:extLst>
            <c:ext xmlns:c16="http://schemas.microsoft.com/office/drawing/2014/chart" uri="{C3380CC4-5D6E-409C-BE32-E72D297353CC}">
              <c16:uniqueId val="{00000000-E484-40AB-9B32-3642CB7C87BC}"/>
            </c:ext>
          </c:extLst>
        </c:ser>
        <c:ser>
          <c:idx val="1"/>
          <c:order val="1"/>
          <c:tx>
            <c:strRef>
              <c:f>Dashboard!$C$3</c:f>
              <c:strCache>
                <c:ptCount val="1"/>
                <c:pt idx="0">
                  <c:v>Sum of Precio</c:v>
                </c:pt>
              </c:strCache>
            </c:strRef>
          </c:tx>
          <c:spPr>
            <a:solidFill>
              <a:schemeClr val="accent2"/>
            </a:solidFill>
            <a:ln>
              <a:noFill/>
            </a:ln>
            <a:effectLst/>
          </c:spPr>
          <c:invertIfNegative val="0"/>
          <c:cat>
            <c:multiLvlStrRef>
              <c:f>Dashboard!$A$4:$A$22</c:f>
              <c:multiLvlStrCache>
                <c:ptCount val="5"/>
                <c:lvl>
                  <c:pt idx="0">
                    <c:v>Norte</c:v>
                  </c:pt>
                  <c:pt idx="1">
                    <c:v>Norte</c:v>
                  </c:pt>
                  <c:pt idx="2">
                    <c:v>Norte</c:v>
                  </c:pt>
                  <c:pt idx="3">
                    <c:v>Norte</c:v>
                  </c:pt>
                  <c:pt idx="4">
                    <c:v>Norte</c:v>
                  </c:pt>
                </c:lvl>
                <c:lvl>
                  <c:pt idx="0">
                    <c:v>Electronico</c:v>
                  </c:pt>
                  <c:pt idx="1">
                    <c:v>Accesorio</c:v>
                  </c:pt>
                  <c:pt idx="2">
                    <c:v>Accesorio</c:v>
                  </c:pt>
                  <c:pt idx="3">
                    <c:v>Electronico</c:v>
                  </c:pt>
                  <c:pt idx="4">
                    <c:v>Electronico</c:v>
                  </c:pt>
                </c:lvl>
                <c:lvl>
                  <c:pt idx="0">
                    <c:v>Carlos</c:v>
                  </c:pt>
                  <c:pt idx="1">
                    <c:v>Carlos</c:v>
                  </c:pt>
                  <c:pt idx="2">
                    <c:v>Carlos</c:v>
                  </c:pt>
                  <c:pt idx="4">
                    <c:v>Carlos</c:v>
                  </c:pt>
                </c:lvl>
                <c:lvl>
                  <c:pt idx="0">
                    <c:v>ene</c:v>
                  </c:pt>
                  <c:pt idx="1">
                    <c:v>feb</c:v>
                  </c:pt>
                  <c:pt idx="2">
                    <c:v>mar</c:v>
                  </c:pt>
                  <c:pt idx="4">
                    <c:v>abr</c:v>
                  </c:pt>
                </c:lvl>
              </c:multiLvlStrCache>
            </c:multiLvlStrRef>
          </c:cat>
          <c:val>
            <c:numRef>
              <c:f>Dashboard!$C$4:$C$22</c:f>
              <c:numCache>
                <c:formatCode>General</c:formatCode>
                <c:ptCount val="5"/>
                <c:pt idx="0">
                  <c:v>1650</c:v>
                </c:pt>
                <c:pt idx="1">
                  <c:v>30</c:v>
                </c:pt>
                <c:pt idx="2">
                  <c:v>14</c:v>
                </c:pt>
                <c:pt idx="3">
                  <c:v>195</c:v>
                </c:pt>
                <c:pt idx="4">
                  <c:v>350</c:v>
                </c:pt>
              </c:numCache>
            </c:numRef>
          </c:val>
          <c:extLst>
            <c:ext xmlns:c16="http://schemas.microsoft.com/office/drawing/2014/chart" uri="{C3380CC4-5D6E-409C-BE32-E72D297353CC}">
              <c16:uniqueId val="{00000001-E484-40AB-9B32-3642CB7C87BC}"/>
            </c:ext>
          </c:extLst>
        </c:ser>
        <c:ser>
          <c:idx val="2"/>
          <c:order val="2"/>
          <c:tx>
            <c:strRef>
              <c:f>Dashboard!$D$3</c:f>
              <c:strCache>
                <c:ptCount val="1"/>
                <c:pt idx="0">
                  <c:v>Sum of Ventas 3, 2026</c:v>
                </c:pt>
              </c:strCache>
            </c:strRef>
          </c:tx>
          <c:spPr>
            <a:solidFill>
              <a:schemeClr val="accent3"/>
            </a:solidFill>
            <a:ln>
              <a:noFill/>
            </a:ln>
            <a:effectLst/>
          </c:spPr>
          <c:invertIfNegative val="0"/>
          <c:cat>
            <c:multiLvlStrRef>
              <c:f>Dashboard!$A$4:$A$22</c:f>
              <c:multiLvlStrCache>
                <c:ptCount val="5"/>
                <c:lvl>
                  <c:pt idx="0">
                    <c:v>Norte</c:v>
                  </c:pt>
                  <c:pt idx="1">
                    <c:v>Norte</c:v>
                  </c:pt>
                  <c:pt idx="2">
                    <c:v>Norte</c:v>
                  </c:pt>
                  <c:pt idx="3">
                    <c:v>Norte</c:v>
                  </c:pt>
                  <c:pt idx="4">
                    <c:v>Norte</c:v>
                  </c:pt>
                </c:lvl>
                <c:lvl>
                  <c:pt idx="0">
                    <c:v>Electronico</c:v>
                  </c:pt>
                  <c:pt idx="1">
                    <c:v>Accesorio</c:v>
                  </c:pt>
                  <c:pt idx="2">
                    <c:v>Accesorio</c:v>
                  </c:pt>
                  <c:pt idx="3">
                    <c:v>Electronico</c:v>
                  </c:pt>
                  <c:pt idx="4">
                    <c:v>Electronico</c:v>
                  </c:pt>
                </c:lvl>
                <c:lvl>
                  <c:pt idx="0">
                    <c:v>Carlos</c:v>
                  </c:pt>
                  <c:pt idx="1">
                    <c:v>Carlos</c:v>
                  </c:pt>
                  <c:pt idx="2">
                    <c:v>Carlos</c:v>
                  </c:pt>
                  <c:pt idx="4">
                    <c:v>Carlos</c:v>
                  </c:pt>
                </c:lvl>
                <c:lvl>
                  <c:pt idx="0">
                    <c:v>ene</c:v>
                  </c:pt>
                  <c:pt idx="1">
                    <c:v>feb</c:v>
                  </c:pt>
                  <c:pt idx="2">
                    <c:v>mar</c:v>
                  </c:pt>
                  <c:pt idx="4">
                    <c:v>abr</c:v>
                  </c:pt>
                </c:lvl>
              </c:multiLvlStrCache>
            </c:multiLvlStrRef>
          </c:cat>
          <c:val>
            <c:numRef>
              <c:f>Dashboard!$D$4:$D$22</c:f>
              <c:numCache>
                <c:formatCode>General</c:formatCode>
                <c:ptCount val="5"/>
                <c:pt idx="0">
                  <c:v>19800</c:v>
                </c:pt>
                <c:pt idx="1">
                  <c:v>450</c:v>
                </c:pt>
                <c:pt idx="2">
                  <c:v>252</c:v>
                </c:pt>
                <c:pt idx="3">
                  <c:v>1755</c:v>
                </c:pt>
                <c:pt idx="4">
                  <c:v>1050</c:v>
                </c:pt>
              </c:numCache>
            </c:numRef>
          </c:val>
          <c:extLst>
            <c:ext xmlns:c16="http://schemas.microsoft.com/office/drawing/2014/chart" uri="{C3380CC4-5D6E-409C-BE32-E72D297353CC}">
              <c16:uniqueId val="{00000004-E484-40AB-9B32-3642CB7C87BC}"/>
            </c:ext>
          </c:extLst>
        </c:ser>
        <c:dLbls>
          <c:showLegendKey val="0"/>
          <c:showVal val="0"/>
          <c:showCatName val="0"/>
          <c:showSerName val="0"/>
          <c:showPercent val="0"/>
          <c:showBubbleSize val="0"/>
        </c:dLbls>
        <c:gapWidth val="219"/>
        <c:overlap val="-27"/>
        <c:axId val="586183456"/>
        <c:axId val="586184416"/>
      </c:barChart>
      <c:catAx>
        <c:axId val="586183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184416"/>
        <c:crosses val="autoZero"/>
        <c:auto val="1"/>
        <c:lblAlgn val="ctr"/>
        <c:lblOffset val="100"/>
        <c:noMultiLvlLbl val="0"/>
      </c:catAx>
      <c:valAx>
        <c:axId val="586184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183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1196340</xdr:colOff>
      <xdr:row>0</xdr:row>
      <xdr:rowOff>45720</xdr:rowOff>
    </xdr:from>
    <xdr:to>
      <xdr:col>14</xdr:col>
      <xdr:colOff>403860</xdr:colOff>
      <xdr:row>7</xdr:row>
      <xdr:rowOff>137160</xdr:rowOff>
    </xdr:to>
    <mc:AlternateContent xmlns:mc="http://schemas.openxmlformats.org/markup-compatibility/2006" xmlns:tsle="http://schemas.microsoft.com/office/drawing/2012/timeslicer">
      <mc:Choice Requires="tsle">
        <xdr:graphicFrame macro="">
          <xdr:nvGraphicFramePr>
            <xdr:cNvPr id="2" name="Fecha">
              <a:extLst>
                <a:ext uri="{FF2B5EF4-FFF2-40B4-BE49-F238E27FC236}">
                  <a16:creationId xmlns:a16="http://schemas.microsoft.com/office/drawing/2014/main" id="{498313CA-C72D-58DB-7E6B-FEF65D3D98BE}"/>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10927080" y="45720"/>
              <a:ext cx="333756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5</xdr:col>
      <xdr:colOff>236220</xdr:colOff>
      <xdr:row>14</xdr:row>
      <xdr:rowOff>53340</xdr:rowOff>
    </xdr:from>
    <xdr:to>
      <xdr:col>10</xdr:col>
      <xdr:colOff>60960</xdr:colOff>
      <xdr:row>29</xdr:row>
      <xdr:rowOff>53340</xdr:rowOff>
    </xdr:to>
    <xdr:graphicFrame macro="">
      <xdr:nvGraphicFramePr>
        <xdr:cNvPr id="3" name="Chart 2">
          <a:extLst>
            <a:ext uri="{FF2B5EF4-FFF2-40B4-BE49-F238E27FC236}">
              <a16:creationId xmlns:a16="http://schemas.microsoft.com/office/drawing/2014/main" id="{86992FE8-AD03-3C2C-BF7E-4937BCE795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266700</xdr:colOff>
      <xdr:row>0</xdr:row>
      <xdr:rowOff>22860</xdr:rowOff>
    </xdr:from>
    <xdr:to>
      <xdr:col>7</xdr:col>
      <xdr:colOff>22860</xdr:colOff>
      <xdr:row>13</xdr:row>
      <xdr:rowOff>112395</xdr:rowOff>
    </xdr:to>
    <mc:AlternateContent xmlns:mc="http://schemas.openxmlformats.org/markup-compatibility/2006" xmlns:a14="http://schemas.microsoft.com/office/drawing/2010/main">
      <mc:Choice Requires="a14">
        <xdr:graphicFrame macro="">
          <xdr:nvGraphicFramePr>
            <xdr:cNvPr id="4" name="Vendedor">
              <a:extLst>
                <a:ext uri="{FF2B5EF4-FFF2-40B4-BE49-F238E27FC236}">
                  <a16:creationId xmlns:a16="http://schemas.microsoft.com/office/drawing/2014/main" id="{F6C0F8FE-4649-7D12-F5E0-ACE05C8F4F70}"/>
                </a:ext>
              </a:extLst>
            </xdr:cNvPr>
            <xdr:cNvGraphicFramePr/>
          </xdr:nvGraphicFramePr>
          <xdr:xfrm>
            <a:off x="0" y="0"/>
            <a:ext cx="0" cy="0"/>
          </xdr:xfrm>
          <a:graphic>
            <a:graphicData uri="http://schemas.microsoft.com/office/drawing/2010/slicer">
              <sle:slicer xmlns:sle="http://schemas.microsoft.com/office/drawing/2010/slicer" name="Vendedor"/>
            </a:graphicData>
          </a:graphic>
        </xdr:graphicFrame>
      </mc:Choice>
      <mc:Fallback xmlns="">
        <xdr:sp macro="" textlink="">
          <xdr:nvSpPr>
            <xdr:cNvPr id="0" name=""/>
            <xdr:cNvSpPr>
              <a:spLocks noTextEdit="1"/>
            </xdr:cNvSpPr>
          </xdr:nvSpPr>
          <xdr:spPr>
            <a:xfrm>
              <a:off x="5356860" y="2286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967740</xdr:colOff>
      <xdr:row>0</xdr:row>
      <xdr:rowOff>53340</xdr:rowOff>
    </xdr:from>
    <xdr:to>
      <xdr:col>8</xdr:col>
      <xdr:colOff>464820</xdr:colOff>
      <xdr:row>13</xdr:row>
      <xdr:rowOff>142875</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6653CD9E-1EB4-14FD-4636-476AEB2BD95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162800" y="533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495300</xdr:colOff>
      <xdr:row>0</xdr:row>
      <xdr:rowOff>45720</xdr:rowOff>
    </xdr:from>
    <xdr:to>
      <xdr:col>9</xdr:col>
      <xdr:colOff>1120140</xdr:colOff>
      <xdr:row>13</xdr:row>
      <xdr:rowOff>135255</xdr:rowOff>
    </xdr:to>
    <mc:AlternateContent xmlns:mc="http://schemas.openxmlformats.org/markup-compatibility/2006" xmlns:a14="http://schemas.microsoft.com/office/drawing/2010/main">
      <mc:Choice Requires="a14">
        <xdr:graphicFrame macro="">
          <xdr:nvGraphicFramePr>
            <xdr:cNvPr id="8" name="Producto">
              <a:extLst>
                <a:ext uri="{FF2B5EF4-FFF2-40B4-BE49-F238E27FC236}">
                  <a16:creationId xmlns:a16="http://schemas.microsoft.com/office/drawing/2014/main" id="{BE1DAC10-336B-EE29-E71E-F88156C1AAAF}"/>
                </a:ext>
              </a:extLst>
            </xdr:cNvPr>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mlns="">
        <xdr:sp macro="" textlink="">
          <xdr:nvSpPr>
            <xdr:cNvPr id="0" name=""/>
            <xdr:cNvSpPr>
              <a:spLocks noTextEdit="1"/>
            </xdr:cNvSpPr>
          </xdr:nvSpPr>
          <xdr:spPr>
            <a:xfrm>
              <a:off x="9022080" y="457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365760</xdr:colOff>
          <xdr:row>2</xdr:row>
          <xdr:rowOff>30480</xdr:rowOff>
        </xdr:from>
        <xdr:to>
          <xdr:col>9</xdr:col>
          <xdr:colOff>350520</xdr:colOff>
          <xdr:row>6</xdr:row>
          <xdr:rowOff>167640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Aplicar Formato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in" refreshedDate="46199.57338483796" createdVersion="8" refreshedVersion="8" minRefreshableVersion="3" recordCount="24" xr:uid="{61ED7496-57F0-4F6C-B1D3-211066FD70B7}">
  <cacheSource type="worksheet">
    <worksheetSource name="Ventas2026"/>
  </cacheSource>
  <cacheFields count="11">
    <cacheField name="Fecha" numFmtId="164">
      <sharedItems containsSemiMixedTypes="0" containsNonDate="0" containsDate="1" containsString="0" minDate="2026-01-01T00:00:00" maxDate="2026-04-26T00:00:00" count="24">
        <d v="2026-01-01T00:00:00"/>
        <d v="2026-01-05T00:00:00"/>
        <d v="2026-01-10T00:00:00"/>
        <d v="2026-01-15T00:00:00"/>
        <d v="2026-01-20T00:00:00"/>
        <d v="2026-01-25T00:00:00"/>
        <d v="2026-02-01T00:00:00"/>
        <d v="2026-02-05T00:00:00"/>
        <d v="2026-02-10T00:00:00"/>
        <d v="2026-02-15T00:00:00"/>
        <d v="2026-02-20T00:00:00"/>
        <d v="2026-02-25T00:00:00"/>
        <d v="2026-03-01T00:00:00"/>
        <d v="2026-03-05T00:00:00"/>
        <d v="2026-03-10T00:00:00"/>
        <d v="2026-03-15T00:00:00"/>
        <d v="2026-03-20T00:00:00"/>
        <d v="2026-03-25T00:00:00"/>
        <d v="2026-04-01T00:00:00"/>
        <d v="2026-04-05T00:00:00"/>
        <d v="2026-04-10T00:00:00"/>
        <d v="2026-04-15T00:00:00"/>
        <d v="2026-04-20T00:00:00"/>
        <d v="2026-04-25T00:00:00"/>
      </sharedItems>
      <fieldGroup par="9"/>
    </cacheField>
    <cacheField name="Vendedor" numFmtId="0">
      <sharedItems count="4">
        <s v="Carlos"/>
        <s v="Maria"/>
        <s v="Pedro"/>
        <s v="Ana"/>
      </sharedItems>
    </cacheField>
    <cacheField name="Region" numFmtId="0">
      <sharedItems count="4">
        <s v="Norte"/>
        <s v="Sur"/>
        <s v="Este"/>
        <s v="Oeste"/>
      </sharedItems>
    </cacheField>
    <cacheField name="Producto" numFmtId="0">
      <sharedItems count="5">
        <s v="Laptop"/>
        <s v="Mouse"/>
        <s v="Teclado"/>
        <s v="Monitor"/>
        <s v="Tablet"/>
      </sharedItems>
    </cacheField>
    <cacheField name="Cantidad" numFmtId="0">
      <sharedItems containsSemiMixedTypes="0" containsString="0" containsNumber="1" containsInteger="1" minValue="3" maxValue="30"/>
    </cacheField>
    <cacheField name="Precio" numFmtId="0">
      <sharedItems containsSemiMixedTypes="0" containsString="0" containsNumber="1" containsInteger="1" minValue="14" maxValue="850"/>
    </cacheField>
    <cacheField name="Categoria" numFmtId="0">
      <sharedItems count="2">
        <s v="Electronico"/>
        <s v="Accesorio"/>
      </sharedItems>
    </cacheField>
    <cacheField name="Total" numFmtId="4">
      <sharedItems containsSemiMixedTypes="0" containsString="0" containsNumber="1" containsInteger="1" minValue="252" maxValue="6400"/>
    </cacheField>
    <cacheField name="Days (Fecha)" numFmtId="0" databaseField="0">
      <fieldGroup base="0">
        <rangePr groupBy="days" startDate="2026-01-01T00:00:00" endDate="2026-04-26T00:00:00"/>
        <groupItems count="368">
          <s v="&lt;1/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t"/>
          <s v="2-sept"/>
          <s v="3-sept"/>
          <s v="4-sept"/>
          <s v="5-sept"/>
          <s v="6-sept"/>
          <s v="7-sept"/>
          <s v="8-sept"/>
          <s v="9-sept"/>
          <s v="10-sept"/>
          <s v="11-sept"/>
          <s v="12-sept"/>
          <s v="13-sept"/>
          <s v="14-sept"/>
          <s v="15-sept"/>
          <s v="16-sept"/>
          <s v="17-sept"/>
          <s v="18-sept"/>
          <s v="19-sept"/>
          <s v="20-sept"/>
          <s v="21-sept"/>
          <s v="22-sept"/>
          <s v="23-sept"/>
          <s v="24-sept"/>
          <s v="25-sept"/>
          <s v="26-sept"/>
          <s v="27-sept"/>
          <s v="28-sept"/>
          <s v="29-sept"/>
          <s v="30-sept"/>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26/4/2026"/>
        </groupItems>
      </fieldGroup>
    </cacheField>
    <cacheField name="Months (Fecha)" numFmtId="0" databaseField="0">
      <fieldGroup base="0">
        <rangePr groupBy="months" startDate="2026-01-01T00:00:00" endDate="2026-04-26T00:00:00"/>
        <groupItems count="14">
          <s v="&lt;1/1/2026"/>
          <s v="ene"/>
          <s v="feb"/>
          <s v="mar"/>
          <s v="abr"/>
          <s v="may"/>
          <s v="jun"/>
          <s v="jul"/>
          <s v="ago"/>
          <s v="sept"/>
          <s v="oct"/>
          <s v="nov"/>
          <s v="dic"/>
          <s v="&gt;26/4/2026"/>
        </groupItems>
      </fieldGroup>
    </cacheField>
    <cacheField name="Ventas 3, 2026" numFmtId="0" formula="Cantidad*Precio" databaseField="0"/>
  </cacheFields>
  <extLst>
    <ext xmlns:x14="http://schemas.microsoft.com/office/spreadsheetml/2009/9/main" uri="{725AE2AE-9491-48be-B2B4-4EB974FC3084}">
      <x14:pivotCacheDefinition pivotCacheId="185238346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x v="0"/>
    <n v="5"/>
    <n v="800"/>
    <x v="0"/>
    <n v="4000"/>
  </r>
  <r>
    <x v="1"/>
    <x v="1"/>
    <x v="1"/>
    <x v="1"/>
    <n v="30"/>
    <n v="15"/>
    <x v="1"/>
    <n v="450"/>
  </r>
  <r>
    <x v="2"/>
    <x v="2"/>
    <x v="2"/>
    <x v="2"/>
    <n v="12"/>
    <n v="30"/>
    <x v="1"/>
    <n v="360"/>
  </r>
  <r>
    <x v="3"/>
    <x v="3"/>
    <x v="3"/>
    <x v="3"/>
    <n v="8"/>
    <n v="200"/>
    <x v="0"/>
    <n v="1600"/>
  </r>
  <r>
    <x v="4"/>
    <x v="0"/>
    <x v="0"/>
    <x v="0"/>
    <n v="7"/>
    <n v="850"/>
    <x v="0"/>
    <n v="5950"/>
  </r>
  <r>
    <x v="5"/>
    <x v="1"/>
    <x v="1"/>
    <x v="4"/>
    <n v="10"/>
    <n v="350"/>
    <x v="0"/>
    <n v="3500"/>
  </r>
  <r>
    <x v="6"/>
    <x v="2"/>
    <x v="2"/>
    <x v="1"/>
    <n v="25"/>
    <n v="14"/>
    <x v="1"/>
    <n v="350"/>
  </r>
  <r>
    <x v="7"/>
    <x v="3"/>
    <x v="3"/>
    <x v="0"/>
    <n v="6"/>
    <n v="800"/>
    <x v="0"/>
    <n v="4800"/>
  </r>
  <r>
    <x v="8"/>
    <x v="0"/>
    <x v="0"/>
    <x v="2"/>
    <n v="15"/>
    <n v="30"/>
    <x v="1"/>
    <n v="450"/>
  </r>
  <r>
    <x v="9"/>
    <x v="1"/>
    <x v="1"/>
    <x v="3"/>
    <n v="4"/>
    <n v="200"/>
    <x v="0"/>
    <n v="800"/>
  </r>
  <r>
    <x v="10"/>
    <x v="2"/>
    <x v="2"/>
    <x v="0"/>
    <n v="7"/>
    <n v="820"/>
    <x v="0"/>
    <n v="5740"/>
  </r>
  <r>
    <x v="11"/>
    <x v="3"/>
    <x v="3"/>
    <x v="1"/>
    <n v="20"/>
    <n v="15"/>
    <x v="1"/>
    <n v="300"/>
  </r>
  <r>
    <x v="12"/>
    <x v="0"/>
    <x v="0"/>
    <x v="3"/>
    <n v="9"/>
    <n v="195"/>
    <x v="0"/>
    <n v="1755"/>
  </r>
  <r>
    <x v="13"/>
    <x v="1"/>
    <x v="1"/>
    <x v="2"/>
    <n v="11"/>
    <n v="32"/>
    <x v="1"/>
    <n v="352"/>
  </r>
  <r>
    <x v="14"/>
    <x v="2"/>
    <x v="2"/>
    <x v="4"/>
    <n v="5"/>
    <n v="350"/>
    <x v="0"/>
    <n v="1750"/>
  </r>
  <r>
    <x v="15"/>
    <x v="3"/>
    <x v="3"/>
    <x v="0"/>
    <n v="4"/>
    <n v="810"/>
    <x v="0"/>
    <n v="3240"/>
  </r>
  <r>
    <x v="16"/>
    <x v="0"/>
    <x v="0"/>
    <x v="1"/>
    <n v="18"/>
    <n v="14"/>
    <x v="1"/>
    <n v="252"/>
  </r>
  <r>
    <x v="17"/>
    <x v="1"/>
    <x v="1"/>
    <x v="3"/>
    <n v="6"/>
    <n v="200"/>
    <x v="0"/>
    <n v="1200"/>
  </r>
  <r>
    <x v="18"/>
    <x v="2"/>
    <x v="2"/>
    <x v="0"/>
    <n v="8"/>
    <n v="800"/>
    <x v="0"/>
    <n v="6400"/>
  </r>
  <r>
    <x v="19"/>
    <x v="3"/>
    <x v="3"/>
    <x v="2"/>
    <n v="14"/>
    <n v="30"/>
    <x v="1"/>
    <n v="420"/>
  </r>
  <r>
    <x v="20"/>
    <x v="0"/>
    <x v="0"/>
    <x v="4"/>
    <n v="3"/>
    <n v="350"/>
    <x v="0"/>
    <n v="1050"/>
  </r>
  <r>
    <x v="21"/>
    <x v="1"/>
    <x v="1"/>
    <x v="1"/>
    <n v="22"/>
    <n v="15"/>
    <x v="1"/>
    <n v="330"/>
  </r>
  <r>
    <x v="22"/>
    <x v="2"/>
    <x v="2"/>
    <x v="3"/>
    <n v="7"/>
    <n v="205"/>
    <x v="0"/>
    <n v="1435"/>
  </r>
  <r>
    <x v="23"/>
    <x v="3"/>
    <x v="3"/>
    <x v="0"/>
    <n v="5"/>
    <n v="825"/>
    <x v="0"/>
    <n v="4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2512D2D-5526-4CB7-A70B-DBCD2B845EF9}" name="Ventas 2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11">
    <pivotField numFmtId="164"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Row" showAll="0">
      <items count="5">
        <item x="3"/>
        <item x="0"/>
        <item x="1"/>
        <item x="2"/>
        <item t="default"/>
      </items>
    </pivotField>
    <pivotField showAll="0"/>
    <pivotField showAll="0"/>
    <pivotField showAll="0"/>
    <pivotField showAll="0"/>
    <pivotField showAll="0"/>
    <pivotField dataField="1" numFmtId="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dragToRow="0" dragToCol="0" dragToPage="0" showAll="0" defaultSubtotal="0"/>
  </pivotFields>
  <rowFields count="1">
    <field x="1"/>
  </rowFields>
  <rowItems count="5">
    <i>
      <x/>
    </i>
    <i>
      <x v="1"/>
    </i>
    <i>
      <x v="2"/>
    </i>
    <i>
      <x v="3"/>
    </i>
    <i t="grand">
      <x/>
    </i>
  </rowItems>
  <colItems count="1">
    <i/>
  </colItems>
  <dataFields count="1">
    <dataField name="Sum of Total" fld="7" baseField="0" baseItem="0" numFmtId="4"/>
  </dataFields>
  <pivotTableStyleInfo name="PivotStyleMedium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B57885-AEA7-472E-A7E1-5C99ABA0EA95}" name="Ventas 3, 202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3:D22" firstHeaderRow="0" firstDataRow="1" firstDataCol="1"/>
  <pivotFields count="11">
    <pivotField numFmtId="164" showAll="0">
      <items count="25">
        <item x="0"/>
        <item x="1"/>
        <item x="2"/>
        <item x="3"/>
        <item x="4"/>
        <item x="5"/>
        <item x="6"/>
        <item x="7"/>
        <item x="8"/>
        <item x="9"/>
        <item x="10"/>
        <item x="11"/>
        <item x="12"/>
        <item x="13"/>
        <item x="14"/>
        <item x="15"/>
        <item x="16"/>
        <item x="17"/>
        <item x="18"/>
        <item x="19"/>
        <item x="20"/>
        <item x="21"/>
        <item x="22"/>
        <item x="23"/>
        <item t="default"/>
      </items>
    </pivotField>
    <pivotField axis="axisRow" showAll="0">
      <items count="5">
        <item x="3"/>
        <item x="0"/>
        <item x="1"/>
        <item x="2"/>
        <item t="default"/>
      </items>
    </pivotField>
    <pivotField axis="axisRow" showAll="0">
      <items count="5">
        <item h="1" x="2"/>
        <item x="0"/>
        <item h="1" x="3"/>
        <item h="1" x="1"/>
        <item t="default"/>
      </items>
    </pivotField>
    <pivotField showAll="0">
      <items count="6">
        <item x="0"/>
        <item x="3"/>
        <item x="1"/>
        <item x="4"/>
        <item x="2"/>
        <item t="default"/>
      </items>
    </pivotField>
    <pivotField dataField="1" showAll="0"/>
    <pivotField dataField="1" showAll="0"/>
    <pivotField axis="axisRow" showAll="0">
      <items count="3">
        <item x="1"/>
        <item x="0"/>
        <item t="default"/>
      </items>
    </pivotField>
    <pivotField numFmtId="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x="1"/>
        <item x="2"/>
        <item x="3"/>
        <item x="4"/>
        <item sd="0" x="5"/>
        <item sd="0" x="6"/>
        <item sd="0" x="7"/>
        <item sd="0" x="8"/>
        <item sd="0" x="9"/>
        <item sd="0" x="10"/>
        <item sd="0" x="11"/>
        <item sd="0" x="12"/>
        <item sd="0" x="13"/>
        <item t="default"/>
      </items>
    </pivotField>
    <pivotField dataField="1" dragToRow="0" dragToCol="0" dragToPage="0" showAll="0" defaultSubtotal="0"/>
  </pivotFields>
  <rowFields count="4">
    <field x="9"/>
    <field x="1"/>
    <field x="6"/>
    <field x="2"/>
  </rowFields>
  <rowItems count="19">
    <i>
      <x v="1"/>
    </i>
    <i r="1">
      <x v="1"/>
    </i>
    <i r="2">
      <x v="1"/>
    </i>
    <i r="3">
      <x v="1"/>
    </i>
    <i>
      <x v="2"/>
    </i>
    <i r="1">
      <x v="1"/>
    </i>
    <i r="2">
      <x/>
    </i>
    <i r="3">
      <x v="1"/>
    </i>
    <i>
      <x v="3"/>
    </i>
    <i r="1">
      <x v="1"/>
    </i>
    <i r="2">
      <x/>
    </i>
    <i r="3">
      <x v="1"/>
    </i>
    <i r="2">
      <x v="1"/>
    </i>
    <i r="3">
      <x v="1"/>
    </i>
    <i>
      <x v="4"/>
    </i>
    <i r="1">
      <x v="1"/>
    </i>
    <i r="2">
      <x v="1"/>
    </i>
    <i r="3">
      <x v="1"/>
    </i>
    <i t="grand">
      <x/>
    </i>
  </rowItems>
  <colFields count="1">
    <field x="-2"/>
  </colFields>
  <colItems count="3">
    <i>
      <x/>
    </i>
    <i i="1">
      <x v="1"/>
    </i>
    <i i="2">
      <x v="2"/>
    </i>
  </colItems>
  <dataFields count="3">
    <dataField name="Sum of Cantidad" fld="4" baseField="0" baseItem="0"/>
    <dataField name="Sum of Precio" fld="5" baseField="0" baseItem="0"/>
    <dataField name="Sum of Ventas 3, 2026" fld="10"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2"/>
          </reference>
        </references>
      </pivotArea>
    </chartFormat>
    <chartFormat chart="0" format="4" series="1">
      <pivotArea type="data" outline="0" fieldPosition="0">
        <references count="2">
          <reference field="4294967294" count="1" selected="0">
            <x v="1"/>
          </reference>
          <reference field="6" count="1" selected="0">
            <x v="1"/>
          </reference>
        </references>
      </pivotArea>
    </chartFormat>
    <chartFormat chart="0" format="5" series="1">
      <pivotArea type="data" outline="0" fieldPosition="0">
        <references count="2">
          <reference field="4294967294" count="1" selected="0">
            <x v="2"/>
          </reference>
          <reference field="6" count="1" selected="0">
            <x v="0"/>
          </reference>
        </references>
      </pivotArea>
    </chartFormat>
    <chartFormat chart="0" format="6" series="1">
      <pivotArea type="data" outline="0" fieldPosition="0">
        <references count="2">
          <reference field="4294967294" count="1" selected="0">
            <x v="2"/>
          </reference>
          <reference field="6" count="1" selected="0">
            <x v="1"/>
          </reference>
        </references>
      </pivotArea>
    </chartFormat>
  </chartFormats>
  <pivotTableStyleInfo name="PivotStyleLight16" showRowHeaders="1" showColHeaders="1" showRowStripes="0" showColStripes="0" showLastColumn="1"/>
  <filters count="1">
    <filter fld="0" type="dateBetween" evalOrder="-1" id="24" name="Fecha">
      <autoFilter ref="A1">
        <filterColumn colId="0">
          <customFilters and="1">
            <customFilter operator="greaterThanOrEqual" val="46023"/>
            <customFilter operator="lessThanOrEqual" val="461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edor" xr10:uid="{0DB0C762-DD06-40E9-8B07-086C25455003}" sourceName="Vendedor">
  <pivotTables>
    <pivotTable tabId="6" name="Ventas 3, 2026"/>
  </pivotTables>
  <data>
    <tabular pivotCacheId="1852383469">
      <items count="4">
        <i x="0" s="1"/>
        <i x="3" s="1" nd="1"/>
        <i x="1" s="1" nd="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2ABB95F-07CA-417D-9427-0F0BD20BA2C7}" sourceName="Region">
  <pivotTables>
    <pivotTable tabId="6" name="Ventas 3, 2026"/>
  </pivotTables>
  <data>
    <tabular pivotCacheId="1852383469">
      <items count="4">
        <i x="2"/>
        <i x="0" s="1"/>
        <i x="3"/>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o" xr10:uid="{DBCB7DAF-0A98-4515-86AC-1CBDD9778E92}" sourceName="Producto">
  <pivotTables>
    <pivotTable tabId="6" name="Ventas 3, 2026"/>
  </pivotTables>
  <data>
    <tabular pivotCacheId="1852383469">
      <items count="5">
        <i x="0" s="1"/>
        <i x="3" s="1"/>
        <i x="1"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edor" xr10:uid="{4947E3B4-E8DB-4CAD-A087-4DF6FE7D5663}" cache="Slicer_Vendedor" caption="Vendedor" rowHeight="234950"/>
  <slicer name="Region" xr10:uid="{D2C52CDB-691E-42E4-809E-9532162F2A86}" cache="Slicer_Region" caption="Region" rowHeight="234950"/>
  <slicer name="Producto" xr10:uid="{3EE87246-B487-4729-BC52-ADB0D51CA301}" cache="Slicer_Producto" caption="Producto"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A5668-ADD0-4BFF-83D0-E0F8091BDCA9}" name="Ventas2026" displayName="Ventas2026" ref="A3:H27" totalsRowShown="0" headerRowDxfId="16" dataDxfId="15">
  <autoFilter ref="A3:H27" xr:uid="{F98A5668-ADD0-4BFF-83D0-E0F8091BDCA9}"/>
  <tableColumns count="8">
    <tableColumn id="1" xr3:uid="{A3D0F92C-CF86-4B8D-99D9-63FBF3F8C247}" name="Fecha" dataDxfId="14"/>
    <tableColumn id="2" xr3:uid="{64FB6514-0090-4550-9E03-7158B39E1D3B}" name="Vendedor" dataDxfId="13"/>
    <tableColumn id="3" xr3:uid="{32FA827B-8EAF-471E-B653-12095B03B2D9}" name="Region" dataDxfId="12"/>
    <tableColumn id="4" xr3:uid="{D2BC5D17-6EA2-4790-A3E2-82B6F7F52B29}" name="Producto" dataDxfId="11"/>
    <tableColumn id="5" xr3:uid="{866212C1-61F0-4155-9CC3-770C50336FAA}" name="Cantidad" dataDxfId="10"/>
    <tableColumn id="6" xr3:uid="{BCCB062B-2A6C-458D-8D9F-CEEC789D166E}" name="Precio" dataDxfId="9"/>
    <tableColumn id="7" xr3:uid="{D86B680F-5370-4FAC-90E6-FAAC5340FF39}" name="Categoria" dataDxfId="8"/>
    <tableColumn id="8" xr3:uid="{08E1E5E3-20A4-454C-9A1F-D11FF0E3BE37}" name="Total" dataDxfId="7">
      <calculatedColumnFormula>Ventas2026[[#This Row],[Precio]]*Ventas2026[[#This Row],[Cantidad]]</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F98B049A-4580-4C07-983B-AD33F257C95F}" sourceName="Fecha">
  <pivotTables>
    <pivotTable tabId="6" name="Ventas 3, 2026"/>
  </pivotTables>
  <state minimalRefreshVersion="6" lastRefreshVersion="6" pivotCacheId="1852383469" filterType="dateBetween">
    <selection startDate="2026-01-01T00:00:00" endDate="2026-04-30T00:00:00"/>
    <bounds startDate="2026-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2B6DA655-D4EB-4A45-98F5-4335C4DCF16C}" cache="NativeTimeline_Fecha" caption="Fecha" level="2" selectionLevel="2" scrollPosition="2026-01-01T00:00:00"/>
</timelines>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 Id="rId4" Type="http://schemas.microsoft.com/office/2011/relationships/timeline" Target="../timelines/timeline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68B08-A2EA-40F2-A10A-75BAF2CA0AC7}">
  <sheetPr codeName="Sheet2">
    <tabColor theme="5" tint="-0.249977111117893"/>
  </sheetPr>
  <dimension ref="A3:B8"/>
  <sheetViews>
    <sheetView workbookViewId="0">
      <selection activeCell="B27" sqref="B27"/>
    </sheetView>
  </sheetViews>
  <sheetFormatPr defaultRowHeight="14.4" x14ac:dyDescent="0.3"/>
  <cols>
    <col min="1" max="1" width="12.44140625" bestFit="1" customWidth="1"/>
    <col min="2" max="2" width="11.33203125" bestFit="1" customWidth="1"/>
  </cols>
  <sheetData>
    <row r="3" spans="1:2" x14ac:dyDescent="0.3">
      <c r="A3" s="6" t="s">
        <v>30</v>
      </c>
      <c r="B3" t="s">
        <v>32</v>
      </c>
    </row>
    <row r="4" spans="1:2" x14ac:dyDescent="0.3">
      <c r="A4" s="7" t="s">
        <v>18</v>
      </c>
      <c r="B4" s="4">
        <v>14485</v>
      </c>
    </row>
    <row r="5" spans="1:2" x14ac:dyDescent="0.3">
      <c r="A5" s="7" t="s">
        <v>8</v>
      </c>
      <c r="B5" s="4">
        <v>13457</v>
      </c>
    </row>
    <row r="6" spans="1:2" x14ac:dyDescent="0.3">
      <c r="A6" s="7" t="s">
        <v>11</v>
      </c>
      <c r="B6" s="4">
        <v>6632</v>
      </c>
    </row>
    <row r="7" spans="1:2" x14ac:dyDescent="0.3">
      <c r="A7" s="7" t="s">
        <v>15</v>
      </c>
      <c r="B7" s="4">
        <v>16035</v>
      </c>
    </row>
    <row r="8" spans="1:2" x14ac:dyDescent="0.3">
      <c r="A8" s="7" t="s">
        <v>31</v>
      </c>
      <c r="B8" s="4">
        <v>50609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3CE04-936A-4525-BED8-E48674CC126D}">
  <sheetPr codeName="Sheet3">
    <tabColor theme="9"/>
  </sheetPr>
  <dimension ref="A1:H27"/>
  <sheetViews>
    <sheetView zoomScale="79" zoomScaleNormal="79" workbookViewId="0">
      <selection activeCell="K11" sqref="K11"/>
    </sheetView>
  </sheetViews>
  <sheetFormatPr defaultRowHeight="14.4" x14ac:dyDescent="0.3"/>
  <cols>
    <col min="1" max="1" width="10.109375" style="1" bestFit="1" customWidth="1"/>
    <col min="2" max="2" width="12.77734375" bestFit="1" customWidth="1"/>
    <col min="3" max="3" width="10.33203125" bestFit="1" customWidth="1"/>
    <col min="4" max="4" width="12.109375" bestFit="1" customWidth="1"/>
    <col min="5" max="5" width="11.88671875" bestFit="1" customWidth="1"/>
    <col min="6" max="6" width="9.6640625" bestFit="1" customWidth="1"/>
    <col min="7" max="7" width="12.77734375" bestFit="1" customWidth="1"/>
    <col min="8" max="8" width="8.5546875" style="4" bestFit="1" customWidth="1"/>
  </cols>
  <sheetData>
    <row r="1" spans="1:8" ht="20.399999999999999" x14ac:dyDescent="0.35">
      <c r="A1" s="23" t="s">
        <v>0</v>
      </c>
      <c r="B1" s="24"/>
      <c r="C1" s="24"/>
      <c r="D1" s="24"/>
      <c r="E1" s="24"/>
    </row>
    <row r="3" spans="1:8" x14ac:dyDescent="0.3">
      <c r="A3" s="3" t="s">
        <v>1</v>
      </c>
      <c r="B3" s="2" t="s">
        <v>2</v>
      </c>
      <c r="C3" s="2" t="s">
        <v>3</v>
      </c>
      <c r="D3" s="2" t="s">
        <v>4</v>
      </c>
      <c r="E3" s="2" t="s">
        <v>5</v>
      </c>
      <c r="F3" s="2" t="s">
        <v>6</v>
      </c>
      <c r="G3" s="2" t="s">
        <v>7</v>
      </c>
      <c r="H3" s="5" t="s">
        <v>22</v>
      </c>
    </row>
    <row r="4" spans="1:8" x14ac:dyDescent="0.3">
      <c r="A4" s="3">
        <v>46023</v>
      </c>
      <c r="B4" s="2" t="s">
        <v>8</v>
      </c>
      <c r="C4" s="2" t="s">
        <v>9</v>
      </c>
      <c r="D4" s="2" t="s">
        <v>10</v>
      </c>
      <c r="E4" s="2">
        <v>5</v>
      </c>
      <c r="F4" s="2">
        <v>800</v>
      </c>
      <c r="G4" s="2" t="s">
        <v>29</v>
      </c>
      <c r="H4" s="5">
        <f>Ventas2026[[#This Row],[Precio]]*Ventas2026[[#This Row],[Cantidad]]</f>
        <v>4000</v>
      </c>
    </row>
    <row r="5" spans="1:8" x14ac:dyDescent="0.3">
      <c r="A5" s="3">
        <v>46027</v>
      </c>
      <c r="B5" s="2" t="s">
        <v>11</v>
      </c>
      <c r="C5" s="2" t="s">
        <v>12</v>
      </c>
      <c r="D5" s="2" t="s">
        <v>13</v>
      </c>
      <c r="E5" s="2">
        <v>30</v>
      </c>
      <c r="F5" s="2">
        <v>15</v>
      </c>
      <c r="G5" s="2" t="s">
        <v>14</v>
      </c>
      <c r="H5" s="5">
        <f>Ventas2026[[#This Row],[Precio]]*Ventas2026[[#This Row],[Cantidad]]</f>
        <v>450</v>
      </c>
    </row>
    <row r="6" spans="1:8" x14ac:dyDescent="0.3">
      <c r="A6" s="3">
        <v>46032</v>
      </c>
      <c r="B6" s="2" t="s">
        <v>15</v>
      </c>
      <c r="C6" s="2" t="s">
        <v>16</v>
      </c>
      <c r="D6" s="2" t="s">
        <v>17</v>
      </c>
      <c r="E6" s="2">
        <v>12</v>
      </c>
      <c r="F6" s="2">
        <v>30</v>
      </c>
      <c r="G6" s="2" t="s">
        <v>14</v>
      </c>
      <c r="H6" s="5">
        <f>Ventas2026[[#This Row],[Precio]]*Ventas2026[[#This Row],[Cantidad]]</f>
        <v>360</v>
      </c>
    </row>
    <row r="7" spans="1:8" x14ac:dyDescent="0.3">
      <c r="A7" s="3">
        <v>46037</v>
      </c>
      <c r="B7" s="2" t="s">
        <v>18</v>
      </c>
      <c r="C7" s="2" t="s">
        <v>19</v>
      </c>
      <c r="D7" s="2" t="s">
        <v>20</v>
      </c>
      <c r="E7" s="2">
        <v>8</v>
      </c>
      <c r="F7" s="2">
        <v>200</v>
      </c>
      <c r="G7" s="2" t="s">
        <v>29</v>
      </c>
      <c r="H7" s="5">
        <f>Ventas2026[[#This Row],[Precio]]*Ventas2026[[#This Row],[Cantidad]]</f>
        <v>1600</v>
      </c>
    </row>
    <row r="8" spans="1:8" x14ac:dyDescent="0.3">
      <c r="A8" s="3">
        <v>46042</v>
      </c>
      <c r="B8" s="2" t="s">
        <v>8</v>
      </c>
      <c r="C8" s="2" t="s">
        <v>9</v>
      </c>
      <c r="D8" s="2" t="s">
        <v>10</v>
      </c>
      <c r="E8" s="2">
        <v>7</v>
      </c>
      <c r="F8" s="2">
        <v>850</v>
      </c>
      <c r="G8" s="2" t="s">
        <v>29</v>
      </c>
      <c r="H8" s="5">
        <f>Ventas2026[[#This Row],[Precio]]*Ventas2026[[#This Row],[Cantidad]]</f>
        <v>5950</v>
      </c>
    </row>
    <row r="9" spans="1:8" x14ac:dyDescent="0.3">
      <c r="A9" s="3">
        <v>46047</v>
      </c>
      <c r="B9" s="2" t="s">
        <v>11</v>
      </c>
      <c r="C9" s="2" t="s">
        <v>12</v>
      </c>
      <c r="D9" s="2" t="s">
        <v>21</v>
      </c>
      <c r="E9" s="2">
        <v>10</v>
      </c>
      <c r="F9" s="2">
        <v>350</v>
      </c>
      <c r="G9" s="2" t="s">
        <v>29</v>
      </c>
      <c r="H9" s="5">
        <f>Ventas2026[[#This Row],[Precio]]*Ventas2026[[#This Row],[Cantidad]]</f>
        <v>3500</v>
      </c>
    </row>
    <row r="10" spans="1:8" x14ac:dyDescent="0.3">
      <c r="A10" s="3">
        <v>46054</v>
      </c>
      <c r="B10" s="2" t="s">
        <v>15</v>
      </c>
      <c r="C10" s="2" t="s">
        <v>16</v>
      </c>
      <c r="D10" s="2" t="s">
        <v>13</v>
      </c>
      <c r="E10" s="2">
        <v>25</v>
      </c>
      <c r="F10" s="2">
        <v>14</v>
      </c>
      <c r="G10" s="2" t="s">
        <v>14</v>
      </c>
      <c r="H10" s="5">
        <f>Ventas2026[[#This Row],[Precio]]*Ventas2026[[#This Row],[Cantidad]]</f>
        <v>350</v>
      </c>
    </row>
    <row r="11" spans="1:8" x14ac:dyDescent="0.3">
      <c r="A11" s="3">
        <v>46058</v>
      </c>
      <c r="B11" s="2" t="s">
        <v>18</v>
      </c>
      <c r="C11" s="2" t="s">
        <v>19</v>
      </c>
      <c r="D11" s="2" t="s">
        <v>10</v>
      </c>
      <c r="E11" s="2">
        <v>6</v>
      </c>
      <c r="F11" s="2">
        <v>800</v>
      </c>
      <c r="G11" s="2" t="s">
        <v>29</v>
      </c>
      <c r="H11" s="5">
        <f>Ventas2026[[#This Row],[Precio]]*Ventas2026[[#This Row],[Cantidad]]</f>
        <v>4800</v>
      </c>
    </row>
    <row r="12" spans="1:8" x14ac:dyDescent="0.3">
      <c r="A12" s="3">
        <v>46063</v>
      </c>
      <c r="B12" s="2" t="s">
        <v>8</v>
      </c>
      <c r="C12" s="2" t="s">
        <v>9</v>
      </c>
      <c r="D12" s="2" t="s">
        <v>17</v>
      </c>
      <c r="E12" s="2">
        <v>15</v>
      </c>
      <c r="F12" s="2">
        <v>30</v>
      </c>
      <c r="G12" s="2" t="s">
        <v>14</v>
      </c>
      <c r="H12" s="5">
        <f>Ventas2026[[#This Row],[Precio]]*Ventas2026[[#This Row],[Cantidad]]</f>
        <v>450</v>
      </c>
    </row>
    <row r="13" spans="1:8" x14ac:dyDescent="0.3">
      <c r="A13" s="3">
        <v>46068</v>
      </c>
      <c r="B13" s="2" t="s">
        <v>11</v>
      </c>
      <c r="C13" s="2" t="s">
        <v>12</v>
      </c>
      <c r="D13" s="2" t="s">
        <v>20</v>
      </c>
      <c r="E13" s="2">
        <v>4</v>
      </c>
      <c r="F13" s="2">
        <v>200</v>
      </c>
      <c r="G13" s="2" t="s">
        <v>29</v>
      </c>
      <c r="H13" s="5">
        <f>Ventas2026[[#This Row],[Precio]]*Ventas2026[[#This Row],[Cantidad]]</f>
        <v>800</v>
      </c>
    </row>
    <row r="14" spans="1:8" x14ac:dyDescent="0.3">
      <c r="A14" s="3">
        <v>46073</v>
      </c>
      <c r="B14" s="2" t="s">
        <v>15</v>
      </c>
      <c r="C14" s="2" t="s">
        <v>16</v>
      </c>
      <c r="D14" s="2" t="s">
        <v>10</v>
      </c>
      <c r="E14" s="2">
        <v>7</v>
      </c>
      <c r="F14" s="2">
        <v>820</v>
      </c>
      <c r="G14" s="2" t="s">
        <v>29</v>
      </c>
      <c r="H14" s="5">
        <f>Ventas2026[[#This Row],[Precio]]*Ventas2026[[#This Row],[Cantidad]]</f>
        <v>5740</v>
      </c>
    </row>
    <row r="15" spans="1:8" x14ac:dyDescent="0.3">
      <c r="A15" s="3">
        <v>46078</v>
      </c>
      <c r="B15" s="2" t="s">
        <v>18</v>
      </c>
      <c r="C15" s="2" t="s">
        <v>19</v>
      </c>
      <c r="D15" s="2" t="s">
        <v>13</v>
      </c>
      <c r="E15" s="2">
        <v>20</v>
      </c>
      <c r="F15" s="2">
        <v>15</v>
      </c>
      <c r="G15" s="2" t="s">
        <v>14</v>
      </c>
      <c r="H15" s="5">
        <f>Ventas2026[[#This Row],[Precio]]*Ventas2026[[#This Row],[Cantidad]]</f>
        <v>300</v>
      </c>
    </row>
    <row r="16" spans="1:8" x14ac:dyDescent="0.3">
      <c r="A16" s="3">
        <v>46082</v>
      </c>
      <c r="B16" s="2" t="s">
        <v>8</v>
      </c>
      <c r="C16" s="2" t="s">
        <v>9</v>
      </c>
      <c r="D16" s="2" t="s">
        <v>20</v>
      </c>
      <c r="E16" s="2">
        <v>9</v>
      </c>
      <c r="F16" s="2">
        <v>195</v>
      </c>
      <c r="G16" s="2" t="s">
        <v>29</v>
      </c>
      <c r="H16" s="5">
        <f>Ventas2026[[#This Row],[Precio]]*Ventas2026[[#This Row],[Cantidad]]</f>
        <v>1755</v>
      </c>
    </row>
    <row r="17" spans="1:8" x14ac:dyDescent="0.3">
      <c r="A17" s="3">
        <v>46086</v>
      </c>
      <c r="B17" s="2" t="s">
        <v>11</v>
      </c>
      <c r="C17" s="2" t="s">
        <v>12</v>
      </c>
      <c r="D17" s="2" t="s">
        <v>17</v>
      </c>
      <c r="E17" s="2">
        <v>11</v>
      </c>
      <c r="F17" s="2">
        <v>32</v>
      </c>
      <c r="G17" s="2" t="s">
        <v>14</v>
      </c>
      <c r="H17" s="5">
        <f>Ventas2026[[#This Row],[Precio]]*Ventas2026[[#This Row],[Cantidad]]</f>
        <v>352</v>
      </c>
    </row>
    <row r="18" spans="1:8" x14ac:dyDescent="0.3">
      <c r="A18" s="3">
        <v>46091</v>
      </c>
      <c r="B18" s="2" t="s">
        <v>15</v>
      </c>
      <c r="C18" s="2" t="s">
        <v>16</v>
      </c>
      <c r="D18" s="2" t="s">
        <v>21</v>
      </c>
      <c r="E18" s="2">
        <v>5</v>
      </c>
      <c r="F18" s="2">
        <v>350</v>
      </c>
      <c r="G18" s="2" t="s">
        <v>29</v>
      </c>
      <c r="H18" s="5">
        <f>Ventas2026[[#This Row],[Precio]]*Ventas2026[[#This Row],[Cantidad]]</f>
        <v>1750</v>
      </c>
    </row>
    <row r="19" spans="1:8" x14ac:dyDescent="0.3">
      <c r="A19" s="3">
        <v>46096</v>
      </c>
      <c r="B19" s="2" t="s">
        <v>18</v>
      </c>
      <c r="C19" s="2" t="s">
        <v>19</v>
      </c>
      <c r="D19" s="2" t="s">
        <v>10</v>
      </c>
      <c r="E19" s="2">
        <v>4</v>
      </c>
      <c r="F19" s="2">
        <v>810</v>
      </c>
      <c r="G19" s="2" t="s">
        <v>29</v>
      </c>
      <c r="H19" s="5">
        <f>Ventas2026[[#This Row],[Precio]]*Ventas2026[[#This Row],[Cantidad]]</f>
        <v>3240</v>
      </c>
    </row>
    <row r="20" spans="1:8" x14ac:dyDescent="0.3">
      <c r="A20" s="3">
        <v>46101</v>
      </c>
      <c r="B20" s="2" t="s">
        <v>8</v>
      </c>
      <c r="C20" s="2" t="s">
        <v>9</v>
      </c>
      <c r="D20" s="2" t="s">
        <v>13</v>
      </c>
      <c r="E20" s="2">
        <v>18</v>
      </c>
      <c r="F20" s="2">
        <v>14</v>
      </c>
      <c r="G20" s="2" t="s">
        <v>14</v>
      </c>
      <c r="H20" s="5">
        <f>Ventas2026[[#This Row],[Precio]]*Ventas2026[[#This Row],[Cantidad]]</f>
        <v>252</v>
      </c>
    </row>
    <row r="21" spans="1:8" x14ac:dyDescent="0.3">
      <c r="A21" s="3">
        <v>46106</v>
      </c>
      <c r="B21" s="2" t="s">
        <v>11</v>
      </c>
      <c r="C21" s="2" t="s">
        <v>12</v>
      </c>
      <c r="D21" s="2" t="s">
        <v>20</v>
      </c>
      <c r="E21" s="2">
        <v>6</v>
      </c>
      <c r="F21" s="2">
        <v>200</v>
      </c>
      <c r="G21" s="2" t="s">
        <v>29</v>
      </c>
      <c r="H21" s="5">
        <f>Ventas2026[[#This Row],[Precio]]*Ventas2026[[#This Row],[Cantidad]]</f>
        <v>1200</v>
      </c>
    </row>
    <row r="22" spans="1:8" x14ac:dyDescent="0.3">
      <c r="A22" s="3">
        <v>46113</v>
      </c>
      <c r="B22" s="2" t="s">
        <v>15</v>
      </c>
      <c r="C22" s="2" t="s">
        <v>16</v>
      </c>
      <c r="D22" s="2" t="s">
        <v>10</v>
      </c>
      <c r="E22" s="2">
        <v>8</v>
      </c>
      <c r="F22" s="2">
        <v>800</v>
      </c>
      <c r="G22" s="2" t="s">
        <v>29</v>
      </c>
      <c r="H22" s="5">
        <f>Ventas2026[[#This Row],[Precio]]*Ventas2026[[#This Row],[Cantidad]]</f>
        <v>6400</v>
      </c>
    </row>
    <row r="23" spans="1:8" x14ac:dyDescent="0.3">
      <c r="A23" s="3">
        <v>46117</v>
      </c>
      <c r="B23" s="2" t="s">
        <v>18</v>
      </c>
      <c r="C23" s="2" t="s">
        <v>19</v>
      </c>
      <c r="D23" s="2" t="s">
        <v>17</v>
      </c>
      <c r="E23" s="2">
        <v>14</v>
      </c>
      <c r="F23" s="2">
        <v>30</v>
      </c>
      <c r="G23" s="2" t="s">
        <v>14</v>
      </c>
      <c r="H23" s="5">
        <f>Ventas2026[[#This Row],[Precio]]*Ventas2026[[#This Row],[Cantidad]]</f>
        <v>420</v>
      </c>
    </row>
    <row r="24" spans="1:8" x14ac:dyDescent="0.3">
      <c r="A24" s="3">
        <v>46122</v>
      </c>
      <c r="B24" s="2" t="s">
        <v>8</v>
      </c>
      <c r="C24" s="2" t="s">
        <v>9</v>
      </c>
      <c r="D24" s="2" t="s">
        <v>21</v>
      </c>
      <c r="E24" s="2">
        <v>3</v>
      </c>
      <c r="F24" s="2">
        <v>350</v>
      </c>
      <c r="G24" s="2" t="s">
        <v>29</v>
      </c>
      <c r="H24" s="5">
        <f>Ventas2026[[#This Row],[Precio]]*Ventas2026[[#This Row],[Cantidad]]</f>
        <v>1050</v>
      </c>
    </row>
    <row r="25" spans="1:8" x14ac:dyDescent="0.3">
      <c r="A25" s="3">
        <v>46127</v>
      </c>
      <c r="B25" s="2" t="s">
        <v>11</v>
      </c>
      <c r="C25" s="2" t="s">
        <v>12</v>
      </c>
      <c r="D25" s="2" t="s">
        <v>13</v>
      </c>
      <c r="E25" s="2">
        <v>22</v>
      </c>
      <c r="F25" s="2">
        <v>15</v>
      </c>
      <c r="G25" s="2" t="s">
        <v>14</v>
      </c>
      <c r="H25" s="5">
        <f>Ventas2026[[#This Row],[Precio]]*Ventas2026[[#This Row],[Cantidad]]</f>
        <v>330</v>
      </c>
    </row>
    <row r="26" spans="1:8" x14ac:dyDescent="0.3">
      <c r="A26" s="3">
        <v>46132</v>
      </c>
      <c r="B26" s="2" t="s">
        <v>15</v>
      </c>
      <c r="C26" s="2" t="s">
        <v>16</v>
      </c>
      <c r="D26" s="2" t="s">
        <v>20</v>
      </c>
      <c r="E26" s="2">
        <v>7</v>
      </c>
      <c r="F26" s="2">
        <v>205</v>
      </c>
      <c r="G26" s="2" t="s">
        <v>29</v>
      </c>
      <c r="H26" s="5">
        <f>Ventas2026[[#This Row],[Precio]]*Ventas2026[[#This Row],[Cantidad]]</f>
        <v>1435</v>
      </c>
    </row>
    <row r="27" spans="1:8" x14ac:dyDescent="0.3">
      <c r="A27" s="3">
        <v>46137</v>
      </c>
      <c r="B27" s="2" t="s">
        <v>18</v>
      </c>
      <c r="C27" s="2" t="s">
        <v>19</v>
      </c>
      <c r="D27" s="2" t="s">
        <v>10</v>
      </c>
      <c r="E27" s="2">
        <v>5</v>
      </c>
      <c r="F27" s="2">
        <v>825</v>
      </c>
      <c r="G27" s="2" t="s">
        <v>29</v>
      </c>
      <c r="H27" s="5">
        <f>Ventas2026[[#This Row],[Precio]]*Ventas2026[[#This Row],[Cantidad]]</f>
        <v>4125</v>
      </c>
    </row>
  </sheetData>
  <mergeCells count="1">
    <mergeCell ref="A1:E1"/>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985FB-1D0B-4E3A-B961-B0EF3328C048}">
  <sheetPr codeName="Sheet4">
    <tabColor rgb="FFFFFF00"/>
  </sheetPr>
  <dimension ref="A1:F15"/>
  <sheetViews>
    <sheetView workbookViewId="0">
      <selection activeCell="E17" sqref="E17"/>
    </sheetView>
  </sheetViews>
  <sheetFormatPr defaultRowHeight="14.4" x14ac:dyDescent="0.3"/>
  <cols>
    <col min="1" max="1" width="23.88671875" bestFit="1" customWidth="1"/>
    <col min="2" max="2" width="14.77734375" style="15" bestFit="1" customWidth="1"/>
  </cols>
  <sheetData>
    <row r="1" spans="1:6" ht="17.399999999999999" x14ac:dyDescent="0.3">
      <c r="A1" s="8" t="s">
        <v>28</v>
      </c>
      <c r="B1" s="14"/>
      <c r="C1" s="2"/>
      <c r="D1" s="2"/>
      <c r="E1" s="2"/>
      <c r="F1" s="2"/>
    </row>
    <row r="2" spans="1:6" x14ac:dyDescent="0.3">
      <c r="A2" s="18"/>
      <c r="B2" s="19"/>
      <c r="C2" s="2"/>
      <c r="D2" s="2"/>
      <c r="E2" s="2"/>
      <c r="F2" s="2"/>
    </row>
    <row r="3" spans="1:6" x14ac:dyDescent="0.3">
      <c r="A3" s="9" t="s">
        <v>23</v>
      </c>
      <c r="B3" s="16">
        <f>SUMIF(Datos!G:G, "Electronico", Datos!H:H)</f>
        <v>47345</v>
      </c>
      <c r="C3" s="2"/>
      <c r="D3" s="2"/>
      <c r="E3" s="2"/>
      <c r="F3" s="2"/>
    </row>
    <row r="4" spans="1:6" x14ac:dyDescent="0.3">
      <c r="A4" s="9" t="s">
        <v>24</v>
      </c>
      <c r="B4" s="16">
        <f>SUMIF(Datos!G:G, "Accesorio", Datos!H:H)</f>
        <v>3264</v>
      </c>
      <c r="C4" s="2"/>
      <c r="D4" s="2"/>
      <c r="E4" s="2"/>
      <c r="F4" s="2"/>
    </row>
    <row r="5" spans="1:6" x14ac:dyDescent="0.3">
      <c r="A5" s="9" t="s">
        <v>25</v>
      </c>
      <c r="B5" s="16">
        <f>_xlfn.MAXIFS(Datos!H:H,Datos!B:B,Datos!B4)</f>
        <v>5950</v>
      </c>
      <c r="C5" s="2" t="s">
        <v>15</v>
      </c>
      <c r="D5" s="2"/>
      <c r="E5" s="2"/>
      <c r="F5" s="2"/>
    </row>
    <row r="6" spans="1:6" x14ac:dyDescent="0.3">
      <c r="A6" s="9" t="s">
        <v>26</v>
      </c>
      <c r="B6" s="28">
        <f>COUNTA(Datos!A:A)-1</f>
        <v>25</v>
      </c>
      <c r="C6" s="2"/>
      <c r="D6" s="2"/>
      <c r="E6" s="2"/>
      <c r="F6" s="2"/>
    </row>
    <row r="7" spans="1:6" x14ac:dyDescent="0.3">
      <c r="A7" s="9" t="s">
        <v>27</v>
      </c>
      <c r="B7" s="16">
        <f>AVERAGE(Datos!H:H)</f>
        <v>2108.7083333333335</v>
      </c>
      <c r="C7" s="2"/>
      <c r="D7" s="2"/>
      <c r="E7" s="2"/>
      <c r="F7" s="2"/>
    </row>
    <row r="8" spans="1:6" x14ac:dyDescent="0.3">
      <c r="A8" s="2"/>
      <c r="B8" s="14"/>
      <c r="C8" s="2"/>
      <c r="D8" s="2"/>
      <c r="E8" s="2"/>
      <c r="F8" s="2"/>
    </row>
    <row r="9" spans="1:6" x14ac:dyDescent="0.3">
      <c r="A9" s="2"/>
      <c r="B9" s="14"/>
      <c r="C9" s="2"/>
      <c r="D9" s="2"/>
      <c r="E9" s="2"/>
      <c r="F9" s="2"/>
    </row>
    <row r="10" spans="1:6" x14ac:dyDescent="0.3">
      <c r="A10" s="2"/>
      <c r="B10" s="14"/>
      <c r="C10" s="2"/>
      <c r="D10" s="2"/>
      <c r="E10" s="2"/>
      <c r="F10" s="2"/>
    </row>
    <row r="11" spans="1:6" x14ac:dyDescent="0.3">
      <c r="A11" s="2"/>
      <c r="B11" s="14"/>
      <c r="C11" s="2"/>
      <c r="D11" s="2"/>
      <c r="E11" s="2"/>
      <c r="F11" s="2"/>
    </row>
    <row r="12" spans="1:6" x14ac:dyDescent="0.3">
      <c r="A12" s="2"/>
      <c r="B12" s="14"/>
      <c r="C12" s="2"/>
      <c r="D12" s="2"/>
      <c r="E12" s="2"/>
      <c r="F12" s="2"/>
    </row>
    <row r="13" spans="1:6" x14ac:dyDescent="0.3">
      <c r="A13" s="2"/>
      <c r="B13" s="14"/>
      <c r="C13" s="2"/>
      <c r="D13" s="2"/>
      <c r="E13" s="2"/>
      <c r="F13" s="2"/>
    </row>
    <row r="14" spans="1:6" x14ac:dyDescent="0.3">
      <c r="A14" s="2"/>
      <c r="B14" s="14"/>
      <c r="C14" s="2"/>
      <c r="D14" s="2"/>
      <c r="E14" s="2"/>
      <c r="F14" s="2"/>
    </row>
    <row r="15" spans="1:6" x14ac:dyDescent="0.3">
      <c r="A15" s="2"/>
      <c r="B15" s="14"/>
      <c r="C15" s="2"/>
      <c r="D15" s="2"/>
      <c r="E15" s="2"/>
      <c r="F15"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0F481-49E3-41DB-9246-779619DC3B22}">
  <sheetPr codeName="Sheet5">
    <tabColor rgb="FF00B0F0"/>
  </sheetPr>
  <dimension ref="A1:D12"/>
  <sheetViews>
    <sheetView tabSelected="1" workbookViewId="0">
      <selection activeCell="D9" sqref="D9"/>
    </sheetView>
  </sheetViews>
  <sheetFormatPr defaultRowHeight="14.4" x14ac:dyDescent="0.3"/>
  <cols>
    <col min="1" max="1" width="23.88671875" bestFit="1" customWidth="1"/>
    <col min="4" max="4" width="17.21875" bestFit="1" customWidth="1"/>
  </cols>
  <sheetData>
    <row r="1" spans="1:4" ht="17.399999999999999" x14ac:dyDescent="0.3">
      <c r="A1" s="25" t="s">
        <v>33</v>
      </c>
      <c r="B1" s="25"/>
      <c r="C1" s="25"/>
      <c r="D1" s="25"/>
    </row>
    <row r="4" spans="1:4" x14ac:dyDescent="0.3">
      <c r="A4" s="13" t="s">
        <v>34</v>
      </c>
      <c r="B4" s="13" t="s">
        <v>38</v>
      </c>
      <c r="C4" s="13" t="s">
        <v>39</v>
      </c>
      <c r="D4" s="13" t="s">
        <v>40</v>
      </c>
    </row>
    <row r="5" spans="1:4" x14ac:dyDescent="0.3">
      <c r="A5" s="20" t="s">
        <v>35</v>
      </c>
      <c r="B5" s="21">
        <v>32000</v>
      </c>
      <c r="C5" s="21">
        <f>Resumen!B3</f>
        <v>47345</v>
      </c>
      <c r="D5" s="9" t="str">
        <f>IF(C5&gt;=B5, "Meta Cumplida", "Bajo Presupuesto")</f>
        <v>Meta Cumplida</v>
      </c>
    </row>
    <row r="6" spans="1:4" x14ac:dyDescent="0.3">
      <c r="A6" s="20" t="s">
        <v>36</v>
      </c>
      <c r="B6" s="21">
        <v>2000</v>
      </c>
      <c r="C6" s="21">
        <f>Resumen!B4</f>
        <v>3264</v>
      </c>
      <c r="D6" s="9" t="str">
        <f>IF(C6&lt;=B6,"Bajo Presupuesto","Sobre Presupuesto")</f>
        <v>Sobre Presupuesto</v>
      </c>
    </row>
    <row r="7" spans="1:4" x14ac:dyDescent="0.3">
      <c r="A7" s="20" t="s">
        <v>25</v>
      </c>
      <c r="B7" s="29" t="s">
        <v>15</v>
      </c>
      <c r="C7" s="21">
        <f>Resumen!B5</f>
        <v>5950</v>
      </c>
      <c r="D7" s="9" t="str">
        <f>IF(C7&lt;&gt;"", "Identificado", "X Sin datos")</f>
        <v>Identificado</v>
      </c>
    </row>
    <row r="8" spans="1:4" x14ac:dyDescent="0.3">
      <c r="A8" s="20" t="s">
        <v>41</v>
      </c>
      <c r="B8" s="22">
        <v>0.62</v>
      </c>
      <c r="C8" s="30">
        <f>Resumen!B3/Resumen!B3</f>
        <v>1</v>
      </c>
      <c r="D8" s="9" t="str">
        <f>IF(C8&gt;=B8, "Meta Cumplida", "Por Debajo")</f>
        <v>Meta Cumplida</v>
      </c>
    </row>
    <row r="9" spans="1:4" x14ac:dyDescent="0.3">
      <c r="A9" s="20" t="s">
        <v>37</v>
      </c>
      <c r="B9" s="21">
        <v>28</v>
      </c>
      <c r="C9" s="21">
        <f>Resumen!B6</f>
        <v>25</v>
      </c>
      <c r="D9" s="9" t="str">
        <f>IF(C9&gt;=B9, "Meta Cumplida", "Por Debajo")</f>
        <v>Por Debajo</v>
      </c>
    </row>
    <row r="10" spans="1:4" x14ac:dyDescent="0.3">
      <c r="A10" s="2"/>
      <c r="B10" s="2"/>
      <c r="C10" s="2"/>
      <c r="D10" s="2"/>
    </row>
    <row r="11" spans="1:4" x14ac:dyDescent="0.3">
      <c r="B11">
        <f>C5-B5</f>
        <v>15345</v>
      </c>
    </row>
    <row r="12" spans="1:4" x14ac:dyDescent="0.3">
      <c r="B12">
        <f>C6-B6</f>
        <v>1264</v>
      </c>
    </row>
  </sheetData>
  <mergeCells count="1">
    <mergeCell ref="A1:D1"/>
  </mergeCells>
  <conditionalFormatting sqref="D5:D9">
    <cfRule type="containsText" dxfId="6" priority="4" operator="containsText" text="Por Debajo">
      <formula>NOT(ISERROR(SEARCH("Por Debajo",D5)))</formula>
    </cfRule>
    <cfRule type="expression" dxfId="5" priority="7">
      <formula>"Meta Cumplida"</formula>
    </cfRule>
    <cfRule type="expression" dxfId="4" priority="8">
      <formula>"Meta Cumplida"</formula>
    </cfRule>
    <cfRule type="expression" dxfId="3" priority="9">
      <formula>"Meta Cumplida"</formula>
    </cfRule>
  </conditionalFormatting>
  <conditionalFormatting sqref="D5:D8">
    <cfRule type="containsText" dxfId="2" priority="2" operator="containsText" text="Meta Cumplida">
      <formula>NOT(ISERROR(SEARCH("Meta Cumplida",D5)))</formula>
    </cfRule>
    <cfRule type="containsText" dxfId="1" priority="3" operator="containsText" text="Meta Cumplida">
      <formula>NOT(ISERROR(SEARCH("Meta Cumplida",D5)))</formula>
    </cfRule>
  </conditionalFormatting>
  <conditionalFormatting sqref="D7">
    <cfRule type="containsText" dxfId="0" priority="1" operator="containsText" text="Identificado">
      <formula>NOT(ISERROR(SEARCH("Identificado",D7)))</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B20DF-AD9A-48A5-8EA2-B935DABBE1A6}">
  <sheetPr codeName="Sheet6">
    <tabColor theme="8"/>
  </sheetPr>
  <dimension ref="A3:D22"/>
  <sheetViews>
    <sheetView topLeftCell="G1" zoomScaleNormal="100" workbookViewId="0">
      <selection activeCell="M17" sqref="M17"/>
    </sheetView>
  </sheetViews>
  <sheetFormatPr defaultRowHeight="14.4" x14ac:dyDescent="0.3"/>
  <cols>
    <col min="1" max="1" width="16.21875" bestFit="1" customWidth="1"/>
    <col min="2" max="2" width="15.109375" bestFit="1" customWidth="1"/>
    <col min="3" max="3" width="12.6640625" bestFit="1" customWidth="1"/>
    <col min="4" max="4" width="19.88671875" bestFit="1" customWidth="1"/>
    <col min="5" max="5" width="10.33203125" bestFit="1" customWidth="1"/>
    <col min="6" max="6" width="19.88671875" bestFit="1" customWidth="1"/>
    <col min="7" max="7" width="10.33203125" bestFit="1" customWidth="1"/>
    <col min="8" max="8" width="19.88671875" bestFit="1" customWidth="1"/>
    <col min="9" max="9" width="17.5546875" bestFit="1" customWidth="1"/>
    <col min="10" max="10" width="24.6640625" bestFit="1" customWidth="1"/>
  </cols>
  <sheetData>
    <row r="3" spans="1:4" x14ac:dyDescent="0.3">
      <c r="A3" s="6" t="s">
        <v>30</v>
      </c>
      <c r="B3" t="s">
        <v>46</v>
      </c>
      <c r="C3" t="s">
        <v>47</v>
      </c>
      <c r="D3" t="s">
        <v>48</v>
      </c>
    </row>
    <row r="4" spans="1:4" x14ac:dyDescent="0.3">
      <c r="A4" s="7" t="s">
        <v>42</v>
      </c>
      <c r="B4">
        <v>12</v>
      </c>
      <c r="C4">
        <v>1650</v>
      </c>
      <c r="D4">
        <v>19800</v>
      </c>
    </row>
    <row r="5" spans="1:4" x14ac:dyDescent="0.3">
      <c r="A5" s="10" t="s">
        <v>8</v>
      </c>
      <c r="B5">
        <v>12</v>
      </c>
      <c r="C5">
        <v>1650</v>
      </c>
      <c r="D5">
        <v>19800</v>
      </c>
    </row>
    <row r="6" spans="1:4" x14ac:dyDescent="0.3">
      <c r="A6" s="11" t="s">
        <v>29</v>
      </c>
      <c r="B6">
        <v>12</v>
      </c>
      <c r="C6">
        <v>1650</v>
      </c>
      <c r="D6">
        <v>19800</v>
      </c>
    </row>
    <row r="7" spans="1:4" x14ac:dyDescent="0.3">
      <c r="A7" s="12" t="s">
        <v>9</v>
      </c>
      <c r="B7">
        <v>12</v>
      </c>
      <c r="C7">
        <v>1650</v>
      </c>
      <c r="D7">
        <v>19800</v>
      </c>
    </row>
    <row r="8" spans="1:4" x14ac:dyDescent="0.3">
      <c r="A8" s="7" t="s">
        <v>43</v>
      </c>
      <c r="B8">
        <v>15</v>
      </c>
      <c r="C8">
        <v>30</v>
      </c>
      <c r="D8">
        <v>450</v>
      </c>
    </row>
    <row r="9" spans="1:4" x14ac:dyDescent="0.3">
      <c r="A9" s="10" t="s">
        <v>8</v>
      </c>
      <c r="B9">
        <v>15</v>
      </c>
      <c r="C9">
        <v>30</v>
      </c>
      <c r="D9">
        <v>450</v>
      </c>
    </row>
    <row r="10" spans="1:4" x14ac:dyDescent="0.3">
      <c r="A10" s="11" t="s">
        <v>14</v>
      </c>
      <c r="B10">
        <v>15</v>
      </c>
      <c r="C10">
        <v>30</v>
      </c>
      <c r="D10">
        <v>450</v>
      </c>
    </row>
    <row r="11" spans="1:4" x14ac:dyDescent="0.3">
      <c r="A11" s="12" t="s">
        <v>9</v>
      </c>
      <c r="B11">
        <v>15</v>
      </c>
      <c r="C11">
        <v>30</v>
      </c>
      <c r="D11">
        <v>450</v>
      </c>
    </row>
    <row r="12" spans="1:4" x14ac:dyDescent="0.3">
      <c r="A12" s="7" t="s">
        <v>44</v>
      </c>
      <c r="B12">
        <v>27</v>
      </c>
      <c r="C12">
        <v>209</v>
      </c>
      <c r="D12">
        <v>5643</v>
      </c>
    </row>
    <row r="13" spans="1:4" x14ac:dyDescent="0.3">
      <c r="A13" s="10" t="s">
        <v>8</v>
      </c>
      <c r="B13">
        <v>27</v>
      </c>
      <c r="C13">
        <v>209</v>
      </c>
      <c r="D13">
        <v>5643</v>
      </c>
    </row>
    <row r="14" spans="1:4" x14ac:dyDescent="0.3">
      <c r="A14" s="11" t="s">
        <v>14</v>
      </c>
      <c r="B14">
        <v>18</v>
      </c>
      <c r="C14">
        <v>14</v>
      </c>
      <c r="D14">
        <v>252</v>
      </c>
    </row>
    <row r="15" spans="1:4" x14ac:dyDescent="0.3">
      <c r="A15" s="12" t="s">
        <v>9</v>
      </c>
      <c r="B15">
        <v>18</v>
      </c>
      <c r="C15">
        <v>14</v>
      </c>
      <c r="D15">
        <v>252</v>
      </c>
    </row>
    <row r="16" spans="1:4" x14ac:dyDescent="0.3">
      <c r="A16" s="11" t="s">
        <v>29</v>
      </c>
      <c r="B16">
        <v>9</v>
      </c>
      <c r="C16">
        <v>195</v>
      </c>
      <c r="D16">
        <v>1755</v>
      </c>
    </row>
    <row r="17" spans="1:4" x14ac:dyDescent="0.3">
      <c r="A17" s="12" t="s">
        <v>9</v>
      </c>
      <c r="B17">
        <v>9</v>
      </c>
      <c r="C17">
        <v>195</v>
      </c>
      <c r="D17">
        <v>1755</v>
      </c>
    </row>
    <row r="18" spans="1:4" x14ac:dyDescent="0.3">
      <c r="A18" s="7" t="s">
        <v>45</v>
      </c>
      <c r="B18">
        <v>3</v>
      </c>
      <c r="C18">
        <v>350</v>
      </c>
      <c r="D18">
        <v>1050</v>
      </c>
    </row>
    <row r="19" spans="1:4" x14ac:dyDescent="0.3">
      <c r="A19" s="10" t="s">
        <v>8</v>
      </c>
      <c r="B19">
        <v>3</v>
      </c>
      <c r="C19">
        <v>350</v>
      </c>
      <c r="D19">
        <v>1050</v>
      </c>
    </row>
    <row r="20" spans="1:4" x14ac:dyDescent="0.3">
      <c r="A20" s="11" t="s">
        <v>29</v>
      </c>
      <c r="B20">
        <v>3</v>
      </c>
      <c r="C20">
        <v>350</v>
      </c>
      <c r="D20">
        <v>1050</v>
      </c>
    </row>
    <row r="21" spans="1:4" x14ac:dyDescent="0.3">
      <c r="A21" s="12" t="s">
        <v>9</v>
      </c>
      <c r="B21">
        <v>3</v>
      </c>
      <c r="C21">
        <v>350</v>
      </c>
      <c r="D21">
        <v>1050</v>
      </c>
    </row>
    <row r="22" spans="1:4" x14ac:dyDescent="0.3">
      <c r="A22" s="7" t="s">
        <v>31</v>
      </c>
      <c r="B22">
        <v>57</v>
      </c>
      <c r="C22">
        <v>2239</v>
      </c>
      <c r="D22">
        <v>127623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C3B40-FF62-4EB6-A060-ECFDB7C580A1}">
  <sheetPr>
    <tabColor rgb="FFC00000"/>
  </sheetPr>
  <dimension ref="A1:D15"/>
  <sheetViews>
    <sheetView workbookViewId="0">
      <selection activeCell="H15" sqref="H15"/>
    </sheetView>
  </sheetViews>
  <sheetFormatPr defaultRowHeight="14.4" x14ac:dyDescent="0.3"/>
  <cols>
    <col min="1" max="1" width="16.88671875" bestFit="1" customWidth="1"/>
  </cols>
  <sheetData>
    <row r="1" spans="1:4" ht="18" x14ac:dyDescent="0.35">
      <c r="A1" s="17" t="s">
        <v>49</v>
      </c>
    </row>
    <row r="2" spans="1:4" x14ac:dyDescent="0.3">
      <c r="A2" s="26"/>
      <c r="B2" s="26"/>
      <c r="C2" s="27"/>
    </row>
    <row r="3" spans="1:4" x14ac:dyDescent="0.3">
      <c r="A3" s="26"/>
      <c r="B3" s="26"/>
      <c r="C3" s="27"/>
    </row>
    <row r="4" spans="1:4" x14ac:dyDescent="0.3">
      <c r="A4" s="26" t="s">
        <v>50</v>
      </c>
      <c r="B4" s="26"/>
      <c r="C4" s="26"/>
      <c r="D4" s="27"/>
    </row>
    <row r="5" spans="1:4" x14ac:dyDescent="0.3">
      <c r="A5" s="26"/>
      <c r="B5" s="26"/>
      <c r="C5" s="26"/>
      <c r="D5" s="27"/>
    </row>
    <row r="6" spans="1:4" x14ac:dyDescent="0.3">
      <c r="A6" s="26" t="s">
        <v>51</v>
      </c>
      <c r="B6" s="26"/>
      <c r="C6" s="26"/>
      <c r="D6" s="27"/>
    </row>
    <row r="7" spans="1:4" x14ac:dyDescent="0.3">
      <c r="A7" s="26"/>
      <c r="B7" s="26"/>
      <c r="C7" s="27"/>
    </row>
    <row r="8" spans="1:4" x14ac:dyDescent="0.3">
      <c r="A8" s="26"/>
      <c r="B8" s="26"/>
      <c r="C8" s="27"/>
    </row>
    <row r="9" spans="1:4" x14ac:dyDescent="0.3">
      <c r="A9" s="26"/>
      <c r="B9" s="26"/>
      <c r="C9" s="27"/>
    </row>
    <row r="10" spans="1:4" x14ac:dyDescent="0.3">
      <c r="A10" s="27"/>
      <c r="B10" s="27"/>
      <c r="C10" s="27"/>
    </row>
    <row r="11" spans="1:4" x14ac:dyDescent="0.3">
      <c r="A11" s="27"/>
      <c r="B11" s="27"/>
      <c r="C11" s="27"/>
    </row>
    <row r="12" spans="1:4" x14ac:dyDescent="0.3">
      <c r="A12" s="27"/>
      <c r="B12" s="27"/>
      <c r="C12" s="27"/>
    </row>
    <row r="13" spans="1:4" x14ac:dyDescent="0.3">
      <c r="A13" s="27"/>
      <c r="B13" s="27"/>
      <c r="C13" s="27"/>
    </row>
    <row r="14" spans="1:4" x14ac:dyDescent="0.3">
      <c r="A14" s="27"/>
      <c r="B14" s="27"/>
      <c r="C14" s="27"/>
    </row>
    <row r="15" spans="1:4" x14ac:dyDescent="0.3">
      <c r="A15" s="27"/>
      <c r="B15" s="27"/>
      <c r="C15" s="2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Module1.Ventas2026">
                <anchor moveWithCells="1" sizeWithCells="1">
                  <from>
                    <xdr:col>7</xdr:col>
                    <xdr:colOff>365760</xdr:colOff>
                    <xdr:row>2</xdr:row>
                    <xdr:rowOff>30480</xdr:rowOff>
                  </from>
                  <to>
                    <xdr:col>9</xdr:col>
                    <xdr:colOff>350520</xdr:colOff>
                    <xdr:row>6</xdr:row>
                    <xdr:rowOff>167640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3BEE5FE-9ECB-454B-BDEF-3D8CE48326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Vendedor con mas ventas</vt:lpstr>
      <vt:lpstr>Datos</vt:lpstr>
      <vt:lpstr>Resumen</vt:lpstr>
      <vt:lpstr>KPIs</vt:lpstr>
      <vt:lpstr>Dashboard</vt:lpstr>
      <vt:lpstr>Macro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Edwin Villar</dc:creator>
  <cp:lastModifiedBy>Edwin Villar</cp:lastModifiedBy>
  <dcterms:created xsi:type="dcterms:W3CDTF">2026-06-26T15:33:40Z</dcterms:created>
  <dcterms:modified xsi:type="dcterms:W3CDTF">2026-06-26T22:09:19Z</dcterms:modified>
</cp:coreProperties>
</file>