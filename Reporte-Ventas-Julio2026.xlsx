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0" documentId="8_{42ECB7CE-99CD-4C10-B491-DF2960B608EA}" xr6:coauthVersionLast="47" xr6:coauthVersionMax="47" xr10:uidLastSave="{00000000-0000-0000-0000-000000000000}"/>
  <bookViews>
    <workbookView xWindow="-12" yWindow="72" windowWidth="11760" windowHeight="12240" xr2:uid="{A0CBBA81-48E5-4BD1-AC11-1FDD5B6C2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0" i="1"/>
</calcChain>
</file>

<file path=xl/sharedStrings.xml><?xml version="1.0" encoding="utf-8"?>
<sst xmlns="http://schemas.openxmlformats.org/spreadsheetml/2006/main" count="42" uniqueCount="30">
  <si>
    <t>Reporte de Ventas - Julio 2026</t>
  </si>
  <si>
    <t>A</t>
  </si>
  <si>
    <t>B</t>
  </si>
  <si>
    <t>C</t>
  </si>
  <si>
    <t>D</t>
  </si>
  <si>
    <t>Fecha</t>
  </si>
  <si>
    <t xml:space="preserve">Vendedor </t>
  </si>
  <si>
    <t>Producto</t>
  </si>
  <si>
    <t xml:space="preserve">Venta </t>
  </si>
  <si>
    <t>Edwin Villar</t>
  </si>
  <si>
    <t>Carlos Martinez</t>
  </si>
  <si>
    <t>Auriculares</t>
  </si>
  <si>
    <t>Camiseta</t>
  </si>
  <si>
    <t>Pelota</t>
  </si>
  <si>
    <t>Cable USB</t>
  </si>
  <si>
    <t xml:space="preserve">Jeans </t>
  </si>
  <si>
    <t>Libro SQL</t>
  </si>
  <si>
    <t>Cargador</t>
  </si>
  <si>
    <t xml:space="preserve">Auriculares </t>
  </si>
  <si>
    <t>Vendedor</t>
  </si>
  <si>
    <t>Total Ventas</t>
  </si>
  <si>
    <t xml:space="preserve">Edwin Villar </t>
  </si>
  <si>
    <t xml:space="preserve">Carlos Martinez </t>
  </si>
  <si>
    <t>=SUMIF(donde buscar, "qué buscar", qué sumar)</t>
  </si>
  <si>
    <t>$B$2:$B$11    → busca en la columna Vendedor</t>
  </si>
  <si>
    <t>Edwin Villar → busca ese nombre específico</t>
  </si>
  <si>
    <t>$D$2:$D$11    → suma las ventas de ese vendedor</t>
  </si>
  <si>
    <t>¿Cómo funciona SUMIF?</t>
  </si>
  <si>
    <t>Ana Lopez</t>
  </si>
  <si>
    <t xml:space="preserve">Ana Lopez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</si>
</sst>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/>
    <xf numFmtId="0" fontId="0" fillId="0" borderId="1" xfId="0" applyBorder="1"/>
    <xf numFmtId="43" fontId="0" fillId="0" borderId="1" xfId="1" applyFont="1" applyBorder="1"/>
    <xf numFmtId="165" fontId="0" fillId="0" borderId="1" xfId="0" applyNumberFormat="1" applyBorder="1" applyAlignment="1">
      <alignment horizontal="left"/>
    </xf>
    <xf numFmtId="0" fontId="0" fillId="0" borderId="0" xfId="0" applyFont="1"/>
    <xf numFmtId="43" fontId="0" fillId="0" borderId="0" xfId="0" applyNumberFormat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Vendedor - Julio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Sheet1!$A$20:$A$22</c:f>
              <c:strCache>
                <c:ptCount val="3"/>
                <c:pt idx="0">
                  <c:v>Edwin Villar </c:v>
                </c:pt>
                <c:pt idx="1">
                  <c:v>Ana Lopez </c:v>
                </c:pt>
                <c:pt idx="2">
                  <c:v>Carlos Martinez </c:v>
                </c:pt>
              </c:strCache>
            </c:strRef>
          </c:cat>
          <c:val>
            <c:numRef>
              <c:f>Sheet1!$B$20:$B$22</c:f>
              <c:numCache>
                <c:formatCode>_(* #,##0.00_);_(* \(#,##0.00\);_(* "-"??_);_(@_)</c:formatCode>
                <c:ptCount val="3"/>
                <c:pt idx="0">
                  <c:v>130.47</c:v>
                </c:pt>
                <c:pt idx="1">
                  <c:v>63.99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F-4589-9E67-C8E790D98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947487"/>
        <c:axId val="2030947967"/>
      </c:barChart>
      <c:catAx>
        <c:axId val="203094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47967"/>
        <c:crosses val="autoZero"/>
        <c:auto val="1"/>
        <c:lblAlgn val="ctr"/>
        <c:lblOffset val="100"/>
        <c:noMultiLvlLbl val="0"/>
      </c:catAx>
      <c:valAx>
        <c:axId val="203094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4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12</xdr:row>
      <xdr:rowOff>133350</xdr:rowOff>
    </xdr:from>
    <xdr:to>
      <xdr:col>11</xdr:col>
      <xdr:colOff>601980</xdr:colOff>
      <xdr:row>27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84656-2611-BD41-4CFC-07DD31A0E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4080-201F-47D0-8734-FC77CD753A9C}">
  <dimension ref="A1:K22"/>
  <sheetViews>
    <sheetView tabSelected="1" workbookViewId="0">
      <selection activeCell="N4" sqref="N4"/>
    </sheetView>
  </sheetViews>
  <sheetFormatPr defaultRowHeight="14.4" x14ac:dyDescent="0.3"/>
  <cols>
    <col min="1" max="1" width="14.33203125" bestFit="1" customWidth="1"/>
    <col min="2" max="2" width="14.109375" bestFit="1" customWidth="1"/>
    <col min="3" max="3" width="10.44140625" bestFit="1" customWidth="1"/>
  </cols>
  <sheetData>
    <row r="1" spans="1:11" ht="18" x14ac:dyDescent="0.35">
      <c r="A1" s="1" t="s">
        <v>0</v>
      </c>
      <c r="B1" s="1"/>
      <c r="C1" s="1"/>
      <c r="D1" s="1"/>
    </row>
    <row r="3" spans="1:11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11" x14ac:dyDescent="0.3">
      <c r="A4" s="9" t="s">
        <v>5</v>
      </c>
      <c r="B4" s="9" t="s">
        <v>6</v>
      </c>
      <c r="C4" s="9" t="s">
        <v>7</v>
      </c>
      <c r="D4" s="9" t="s">
        <v>8</v>
      </c>
    </row>
    <row r="5" spans="1:11" x14ac:dyDescent="0.3">
      <c r="A5" s="6">
        <v>46204</v>
      </c>
      <c r="B5" s="4" t="s">
        <v>9</v>
      </c>
      <c r="C5" s="4" t="s">
        <v>11</v>
      </c>
      <c r="D5" s="5">
        <v>45.99</v>
      </c>
      <c r="G5" s="2" t="s">
        <v>27</v>
      </c>
      <c r="H5" s="2"/>
      <c r="I5" s="2"/>
      <c r="J5" s="2"/>
    </row>
    <row r="6" spans="1:11" x14ac:dyDescent="0.3">
      <c r="A6" s="6">
        <v>46205</v>
      </c>
      <c r="B6" s="4" t="s">
        <v>28</v>
      </c>
      <c r="C6" s="4" t="s">
        <v>12</v>
      </c>
      <c r="D6" s="5">
        <v>12</v>
      </c>
      <c r="G6" s="2"/>
      <c r="H6" s="2"/>
      <c r="I6" s="2"/>
      <c r="J6" s="2"/>
    </row>
    <row r="7" spans="1:11" x14ac:dyDescent="0.3">
      <c r="A7" s="6">
        <v>46206</v>
      </c>
      <c r="B7" s="4" t="s">
        <v>10</v>
      </c>
      <c r="C7" s="4" t="s">
        <v>13</v>
      </c>
      <c r="D7" s="5">
        <v>22</v>
      </c>
      <c r="G7" s="2" t="s">
        <v>23</v>
      </c>
      <c r="H7" s="2"/>
      <c r="I7" s="2"/>
      <c r="J7" s="2"/>
    </row>
    <row r="8" spans="1:11" x14ac:dyDescent="0.3">
      <c r="A8" s="6">
        <v>46208</v>
      </c>
      <c r="B8" s="4" t="s">
        <v>9</v>
      </c>
      <c r="C8" s="4" t="s">
        <v>14</v>
      </c>
      <c r="D8" s="5">
        <v>8.5</v>
      </c>
      <c r="G8" s="2"/>
      <c r="H8" s="2"/>
      <c r="I8" s="2"/>
      <c r="J8" s="2"/>
    </row>
    <row r="9" spans="1:11" x14ac:dyDescent="0.3">
      <c r="A9" s="6">
        <v>46210</v>
      </c>
      <c r="B9" s="4" t="s">
        <v>28</v>
      </c>
      <c r="C9" s="4" t="s">
        <v>15</v>
      </c>
      <c r="D9" s="5">
        <v>39.99</v>
      </c>
      <c r="G9" s="2" t="s">
        <v>24</v>
      </c>
      <c r="H9" s="7"/>
      <c r="I9" s="7"/>
      <c r="J9" s="7"/>
      <c r="K9" s="7"/>
    </row>
    <row r="10" spans="1:11" x14ac:dyDescent="0.3">
      <c r="A10" s="6">
        <v>46211</v>
      </c>
      <c r="B10" s="4" t="s">
        <v>10</v>
      </c>
      <c r="C10" s="4" t="s">
        <v>16</v>
      </c>
      <c r="D10" s="5">
        <v>31</v>
      </c>
      <c r="G10" s="2" t="s">
        <v>25</v>
      </c>
      <c r="H10" s="7"/>
      <c r="I10" s="7"/>
      <c r="J10" s="7"/>
      <c r="K10" s="7"/>
    </row>
    <row r="11" spans="1:11" x14ac:dyDescent="0.3">
      <c r="A11" s="6">
        <v>46213</v>
      </c>
      <c r="B11" s="4" t="s">
        <v>9</v>
      </c>
      <c r="C11" s="4" t="s">
        <v>17</v>
      </c>
      <c r="D11" s="5">
        <v>29.99</v>
      </c>
      <c r="G11" s="2" t="s">
        <v>26</v>
      </c>
      <c r="H11" s="7"/>
      <c r="I11" s="7"/>
      <c r="J11" s="7"/>
      <c r="K11" s="7"/>
    </row>
    <row r="12" spans="1:11" x14ac:dyDescent="0.3">
      <c r="A12" s="6">
        <v>46215</v>
      </c>
      <c r="B12" s="4" t="s">
        <v>28</v>
      </c>
      <c r="C12" s="4" t="s">
        <v>12</v>
      </c>
      <c r="D12" s="5">
        <v>12</v>
      </c>
      <c r="H12" s="7"/>
      <c r="I12" s="7"/>
      <c r="J12" s="7"/>
      <c r="K12" s="7"/>
    </row>
    <row r="13" spans="1:11" x14ac:dyDescent="0.3">
      <c r="A13" s="6">
        <v>46218</v>
      </c>
      <c r="B13" s="4" t="s">
        <v>10</v>
      </c>
      <c r="C13" s="4" t="s">
        <v>13</v>
      </c>
      <c r="D13" s="5">
        <v>22</v>
      </c>
    </row>
    <row r="14" spans="1:11" x14ac:dyDescent="0.3">
      <c r="A14" s="6">
        <v>46221</v>
      </c>
      <c r="B14" s="4" t="s">
        <v>9</v>
      </c>
      <c r="C14" s="4" t="s">
        <v>18</v>
      </c>
      <c r="D14" s="5">
        <v>45.99</v>
      </c>
    </row>
    <row r="16" spans="1:11" ht="18" x14ac:dyDescent="0.35">
      <c r="A16" s="1" t="s">
        <v>0</v>
      </c>
      <c r="B16" s="1"/>
      <c r="C16" s="1"/>
    </row>
    <row r="18" spans="1:4" x14ac:dyDescent="0.3">
      <c r="A18" s="3" t="s">
        <v>1</v>
      </c>
      <c r="B18" s="3" t="s">
        <v>2</v>
      </c>
      <c r="D18" s="8"/>
    </row>
    <row r="19" spans="1:4" x14ac:dyDescent="0.3">
      <c r="A19" s="9" t="s">
        <v>19</v>
      </c>
      <c r="B19" s="9" t="s">
        <v>20</v>
      </c>
    </row>
    <row r="20" spans="1:4" x14ac:dyDescent="0.3">
      <c r="A20" s="4" t="s">
        <v>21</v>
      </c>
      <c r="B20" s="5">
        <f>SUMIF($B$5:$B$14,"Edwin Villar",$D$5:$D$14)</f>
        <v>130.47</v>
      </c>
    </row>
    <row r="21" spans="1:4" x14ac:dyDescent="0.3">
      <c r="A21" s="4" t="s">
        <v>29</v>
      </c>
      <c r="B21" s="5">
        <f>SUMIF($B$5:$B$14,"Ana Lopez",$D$5:$D$14)</f>
        <v>63.99</v>
      </c>
    </row>
    <row r="22" spans="1:4" x14ac:dyDescent="0.3">
      <c r="A22" s="4" t="s">
        <v>22</v>
      </c>
      <c r="B22" s="5">
        <f>SUMIF($B$5:$B$14,"Carlos Martinez",$D$5:$D$14)</f>
        <v>75</v>
      </c>
    </row>
  </sheetData>
  <mergeCells count="2">
    <mergeCell ref="A1:D1"/>
    <mergeCell ref="A16:C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2026-06-10T00:30:19Z</dcterms:created>
  <dcterms:modified xsi:type="dcterms:W3CDTF">2026-06-10T01:27:58Z</dcterms:modified>
</cp:coreProperties>
</file>