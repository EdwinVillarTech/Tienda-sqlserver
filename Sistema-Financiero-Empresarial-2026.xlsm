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hidePivotFieldList="1" defaultThemeVersion="166925"/>
  <mc:AlternateContent xmlns:mc="http://schemas.openxmlformats.org/markup-compatibility/2006">
    <mc:Choice Requires="x15">
      <x15ac:absPath xmlns:x15ac="http://schemas.microsoft.com/office/spreadsheetml/2010/11/ac" url="https://d.docs.live.net/1d86eecf8daf4f0d/Documents/SQL Server Management Studio 22/Tienda-sqlserver/"/>
    </mc:Choice>
  </mc:AlternateContent>
  <xr:revisionPtr revIDLastSave="7" documentId="8_{D5AAEA4D-69D8-494C-9780-889206BEB8CF}" xr6:coauthVersionLast="47" xr6:coauthVersionMax="47" xr10:uidLastSave="{AD64FE0D-7EEC-4E9B-B6E1-7A9D943FEF9E}"/>
  <bookViews>
    <workbookView xWindow="-108" yWindow="-108" windowWidth="23256" windowHeight="12456" activeTab="2" xr2:uid="{9D23938A-30E9-4ABD-BC7B-72F9315BD632}"/>
  </bookViews>
  <sheets>
    <sheet name="Datos" sheetId="1" r:id="rId1"/>
    <sheet name="Resumen" sheetId="2" r:id="rId2"/>
    <sheet name="KPIS" sheetId="3" r:id="rId3"/>
    <sheet name="Dashboard" sheetId="4" r:id="rId4"/>
    <sheet name="Macro" sheetId="5" r:id="rId5"/>
  </sheets>
  <definedNames>
    <definedName name="NativeTimeline_Fecha">#N/A</definedName>
    <definedName name="Slicer_Categoria">#N/A</definedName>
    <definedName name="Slicer_Departamento">#N/A</definedName>
    <definedName name="Slicer_Tipo">#N/A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2" l="1"/>
  <c r="B8" i="2"/>
  <c r="B7" i="2"/>
  <c r="C8" i="3" s="1"/>
  <c r="D8" i="3" s="1"/>
  <c r="B6" i="2"/>
  <c r="C6" i="3" s="1"/>
  <c r="D6" i="3" s="1"/>
  <c r="B5" i="2"/>
  <c r="C5" i="3" s="1"/>
  <c r="D5" i="3" s="1"/>
  <c r="B4" i="2"/>
  <c r="C7" i="3" l="1"/>
  <c r="D7" i="3" s="1"/>
  <c r="C4" i="3"/>
  <c r="B11" i="3" l="1"/>
  <c r="D4" i="3"/>
</calcChain>
</file>

<file path=xl/sharedStrings.xml><?xml version="1.0" encoding="utf-8"?>
<sst xmlns="http://schemas.openxmlformats.org/spreadsheetml/2006/main" count="161" uniqueCount="60">
  <si>
    <t>Fecha</t>
  </si>
  <si>
    <t>Categoria</t>
  </si>
  <si>
    <t>Subcategoria</t>
  </si>
  <si>
    <t>Descripcion</t>
  </si>
  <si>
    <t>Monto</t>
  </si>
  <si>
    <t>Tipo</t>
  </si>
  <si>
    <t>Departamento</t>
  </si>
  <si>
    <t>Ingresos</t>
  </si>
  <si>
    <t>Ventas</t>
  </si>
  <si>
    <t>Ventas Sucursal Norte</t>
  </si>
  <si>
    <t>Ingreso</t>
  </si>
  <si>
    <t>Gastos</t>
  </si>
  <si>
    <t>Nomina</t>
  </si>
  <si>
    <t>Salarios Enero</t>
  </si>
  <si>
    <t>Gasto</t>
  </si>
  <si>
    <t>RRHH</t>
  </si>
  <si>
    <t>Servicios</t>
  </si>
  <si>
    <t>Consultoría Enero</t>
  </si>
  <si>
    <t>Operaciones</t>
  </si>
  <si>
    <t>Alquiler Oficina</t>
  </si>
  <si>
    <t>Administración</t>
  </si>
  <si>
    <t>Ventas Sucursal Sur</t>
  </si>
  <si>
    <t>Marketing</t>
  </si>
  <si>
    <t>Publicidad Digital</t>
  </si>
  <si>
    <t>Salarios Febrero</t>
  </si>
  <si>
    <t>Consultoría Febrero</t>
  </si>
  <si>
    <t>Mantenimiento</t>
  </si>
  <si>
    <t>Publicidad Redes</t>
  </si>
  <si>
    <t>Salarios Marzo</t>
  </si>
  <si>
    <t>Consultoría Marzo</t>
  </si>
  <si>
    <t>Servicios Públicos</t>
  </si>
  <si>
    <t>Campaña Email</t>
  </si>
  <si>
    <t>Salarios Abril</t>
  </si>
  <si>
    <t>Consultoría Abril</t>
  </si>
  <si>
    <t>Sistema Financiero Empresarial — Resumen 2026</t>
  </si>
  <si>
    <t>Indicador</t>
  </si>
  <si>
    <t>Valor</t>
  </si>
  <si>
    <t>Total Ingresos</t>
  </si>
  <si>
    <t>Ganancia Neta</t>
  </si>
  <si>
    <t>Total Transacciones</t>
  </si>
  <si>
    <t>Promedio Ingresos</t>
  </si>
  <si>
    <t>Total Gastos</t>
  </si>
  <si>
    <t>Promedio Gastos</t>
  </si>
  <si>
    <t>Sistema Financiero — KPIs 2026</t>
  </si>
  <si>
    <t>KPI</t>
  </si>
  <si>
    <t>Meta</t>
  </si>
  <si>
    <t>Real</t>
  </si>
  <si>
    <t>Estado</t>
  </si>
  <si>
    <t>Ingresos Totales</t>
  </si>
  <si>
    <t>Gastos Totales</t>
  </si>
  <si>
    <t>Margen de Ganancia %</t>
  </si>
  <si>
    <t xml:space="preserve">Transacciones Totales </t>
  </si>
  <si>
    <t>Row Labels</t>
  </si>
  <si>
    <t>Grand Total</t>
  </si>
  <si>
    <t>(All)</t>
  </si>
  <si>
    <t>Sum of Monto</t>
  </si>
  <si>
    <t xml:space="preserve"> Sistema Financiero — Automatización 2026</t>
  </si>
  <si>
    <t>Esta hoja contiene el botón para formatear automáticamente el sistema</t>
  </si>
  <si>
    <t xml:space="preserve">Ganancia Neta </t>
  </si>
  <si>
    <t>Los KPIs son valores medibles que indican qué tan bien una empresa está logrando sus objetivos.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</si>
</sst>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_-[$$-2C0A]\ * #,##0.00_-;\-[$$-2C0A]\ * #,##0.00_-;_-[$$-2C0A]\ * &quot;-&quot;??_-;_-@_-"/>
  </numFmts>
  <fonts count="13" x14ac:knownFonts="1">
    <font>
      <sz val="11"/>
      <color theme="1"/>
      <name val="Calibri"/>
      <family val="2"/>
      <scheme val="minor"/>
    </font>
    <font>
      <sz val="11"/>
      <color theme="0"/>
      <name val="Calibri"/>
      <family val="2"/>
      <scheme val="minor"/>
    </font>
    <font>
      <sz val="11"/>
      <color theme="1"/>
      <name val="Times New Roman"/>
      <family val="1"/>
    </font>
    <font>
      <sz val="14"/>
      <color rgb="FFFF0000"/>
      <name val="Times New Roman"/>
      <family val="1"/>
    </font>
    <font>
      <b/>
      <sz val="11"/>
      <color theme="1"/>
      <name val="Times New Roman"/>
      <family val="1"/>
    </font>
    <font>
      <b/>
      <sz val="14"/>
      <color rgb="FFFF0000"/>
      <name val="Times New Roman"/>
      <family val="1"/>
    </font>
    <font>
      <b/>
      <sz val="11"/>
      <color theme="2"/>
      <name val="Times New Roman"/>
      <family val="1"/>
    </font>
    <font>
      <sz val="11"/>
      <color theme="2"/>
      <name val="Times New Roman"/>
      <family val="1"/>
    </font>
    <font>
      <sz val="11"/>
      <color theme="1"/>
      <name val="Calibri"/>
      <family val="2"/>
      <scheme val="minor"/>
    </font>
    <font>
      <b/>
      <sz val="11"/>
      <color theme="0"/>
      <name val="Times New Roman"/>
      <family val="1"/>
    </font>
    <font>
      <b/>
      <sz val="12"/>
      <color rgb="FFFF0000"/>
      <name val="Times New Roman"/>
      <family val="1"/>
    </font>
    <font>
      <sz val="11"/>
      <color theme="0"/>
      <name val="Times New Roman"/>
      <family val="1"/>
    </font>
    <font>
      <sz val="11"/>
      <color rgb="FF000000"/>
      <name val="Calibri"/>
      <family val="2"/>
    </font>
  </fonts>
  <fills count="4">
    <fill>
      <patternFill patternType="none"/>
    </fill>
    <fill>
      <patternFill patternType="gray125"/>
    </fill>
    <fill>
      <patternFill patternType="solid">
        <fgColor rgb="FF002060"/>
        <bgColor indexed="64"/>
      </patternFill>
    </fill>
    <fill>
      <patternFill patternType="solid">
        <fgColor theme="8"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8" fillId="0" borderId="0" applyFont="0" applyFill="0" applyBorder="0" applyAlignment="0" applyProtection="0"/>
  </cellStyleXfs>
  <cellXfs count="26">
    <xf numFmtId="0" fontId="0" fillId="0" borderId="0" xfId="0"/>
    <xf numFmtId="164" fontId="0" fillId="0" borderId="0" xfId="0" applyNumberFormat="1"/>
    <xf numFmtId="0" fontId="2" fillId="0" borderId="0" xfId="0" applyFont="1"/>
    <xf numFmtId="165" fontId="2" fillId="0" borderId="0" xfId="0" applyNumberFormat="1" applyFont="1"/>
    <xf numFmtId="165" fontId="0" fillId="0" borderId="0" xfId="0" applyNumberFormat="1"/>
    <xf numFmtId="0" fontId="6" fillId="2" borderId="1" xfId="0" applyFont="1" applyFill="1" applyBorder="1"/>
    <xf numFmtId="0" fontId="1" fillId="0" borderId="0" xfId="0" applyFont="1"/>
    <xf numFmtId="0" fontId="7" fillId="3" borderId="1" xfId="0" applyFont="1" applyFill="1" applyBorder="1"/>
    <xf numFmtId="9" fontId="7" fillId="3" borderId="1" xfId="0" applyNumberFormat="1" applyFont="1" applyFill="1" applyBorder="1"/>
    <xf numFmtId="9" fontId="7" fillId="3" borderId="1" xfId="1" applyFont="1" applyFill="1" applyBorder="1"/>
    <xf numFmtId="165" fontId="7" fillId="3" borderId="1" xfId="0" applyNumberFormat="1"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64" fontId="2" fillId="0" borderId="0" xfId="0" applyNumberFormat="1" applyFont="1"/>
    <xf numFmtId="0" fontId="9" fillId="2" borderId="1" xfId="0" applyFont="1" applyFill="1" applyBorder="1"/>
    <xf numFmtId="165" fontId="9" fillId="2" borderId="1" xfId="0" applyNumberFormat="1" applyFont="1" applyFill="1" applyBorder="1"/>
    <xf numFmtId="0" fontId="11" fillId="2" borderId="1" xfId="0" applyFont="1" applyFill="1" applyBorder="1"/>
    <xf numFmtId="165" fontId="11" fillId="2" borderId="1" xfId="0" applyNumberFormat="1" applyFont="1" applyFill="1" applyBorder="1"/>
    <xf numFmtId="49" fontId="11" fillId="2" borderId="1" xfId="0" applyNumberFormat="1" applyFont="1" applyFill="1" applyBorder="1" applyAlignment="1">
      <alignment horizontal="right"/>
    </xf>
    <xf numFmtId="0" fontId="4" fillId="0" borderId="0" xfId="0" applyFont="1"/>
    <xf numFmtId="0" fontId="3" fillId="0" borderId="0" xfId="0" applyFont="1" applyAlignment="1">
      <alignment horizontal="left"/>
    </xf>
    <xf numFmtId="0" fontId="5" fillId="0" borderId="0" xfId="0" applyFont="1" applyAlignment="1">
      <alignment horizontal="left"/>
    </xf>
    <xf numFmtId="0" fontId="10" fillId="0" borderId="0" xfId="0" applyFont="1" applyAlignment="1">
      <alignment horizontal="left"/>
    </xf>
    <xf numFmtId="0" fontId="4" fillId="0" borderId="0" xfId="0" applyFont="1" applyAlignment="1">
      <alignment horizontal="center"/>
    </xf>
    <xf numFmtId="0" fontId="0" fillId="0" borderId="0" xfId="0" applyNumberFormat="1"/>
  </cellXfs>
  <cellStyles count="2">
    <cellStyle name="Normal" xfId="0" builtinId="0"/>
    <cellStyle name="Percent" xfId="1" builtinId="5"/>
  </cellStyles>
  <dxfs count="14">
    <dxf>
      <font>
        <color rgb="FF9C0006"/>
      </font>
    </dxf>
    <dxf>
      <fill>
        <patternFill>
          <bgColor rgb="FF00B050"/>
        </patternFill>
      </fill>
    </dxf>
    <dxf>
      <font>
        <color rgb="FF9C0006"/>
      </font>
      <fill>
        <patternFill>
          <bgColor rgb="FFFFC7CE"/>
        </patternFill>
      </fill>
    </dxf>
    <dxf>
      <fill>
        <patternFill>
          <bgColor rgb="FFFF0000"/>
        </patternFill>
      </fill>
    </dxf>
    <dxf>
      <fill>
        <patternFill>
          <bgColor theme="6"/>
        </patternFill>
      </fil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164" formatCode="dd/mm/yyyy;@"/>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[Sistema-Financiero-Empresarial-2026.xlsm]Dashboard!Analisis Financiero</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Análisis Financiero — Ingresos vs Gastos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cat>
            <c:multiLvlStrRef>
              <c:f>Dashboard!$A$4:$A$11</c:f>
              <c:multiLvlStrCache>
                <c:ptCount val="5"/>
                <c:lvl>
                  <c:pt idx="0">
                    <c:v>Ventas</c:v>
                  </c:pt>
                  <c:pt idx="1">
                    <c:v>Servicios</c:v>
                  </c:pt>
                  <c:pt idx="2">
                    <c:v>Nomina</c:v>
                  </c:pt>
                  <c:pt idx="3">
                    <c:v>Operaciones</c:v>
                  </c:pt>
                  <c:pt idx="4">
                    <c:v>Marketing</c:v>
                  </c:pt>
                </c:lvl>
                <c:lvl>
                  <c:pt idx="0">
                    <c:v>Ingresos</c:v>
                  </c:pt>
                  <c:pt idx="2">
                    <c:v>Gastos</c:v>
                  </c:pt>
                </c:lvl>
              </c:multiLvlStrCache>
            </c:multiLvlStrRef>
          </c:cat>
          <c:val>
            <c:numRef>
              <c:f>Dashboard!$B$4:$B$11</c:f>
              <c:numCache>
                <c:formatCode>General</c:formatCode>
                <c:ptCount val="5"/>
                <c:pt idx="0">
                  <c:v>1245000</c:v>
                </c:pt>
                <c:pt idx="1">
                  <c:v>118000</c:v>
                </c:pt>
                <c:pt idx="2">
                  <c:v>180000</c:v>
                </c:pt>
                <c:pt idx="3">
                  <c:v>36000</c:v>
                </c:pt>
                <c:pt idx="4">
                  <c:v>33000</c:v>
                </c:pt>
              </c:numCache>
            </c:numRef>
          </c:val>
          <c:extLst>
            <c:ext xmlns:c16="http://schemas.microsoft.com/office/drawing/2014/chart" uri="{C3380CC4-5D6E-409C-BE32-E72D297353CC}">
              <c16:uniqueId val="{00000000-3E05-42CD-A2AE-9EF91DFAD858}"/>
            </c:ext>
          </c:extLst>
        </c:ser>
        <c:dLbls>
          <c:showLegendKey val="0"/>
          <c:showVal val="0"/>
          <c:showCatName val="0"/>
          <c:showSerName val="0"/>
          <c:showPercent val="0"/>
          <c:showBubbleSize val="0"/>
        </c:dLbls>
        <c:gapWidth val="219"/>
        <c:overlap val="-27"/>
        <c:axId val="922043504"/>
        <c:axId val="922043984"/>
      </c:barChart>
      <c:catAx>
        <c:axId val="92204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043984"/>
        <c:crosses val="autoZero"/>
        <c:auto val="1"/>
        <c:lblAlgn val="ctr"/>
        <c:lblOffset val="100"/>
        <c:noMultiLvlLbl val="0"/>
      </c:catAx>
      <c:valAx>
        <c:axId val="922043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2043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15240</xdr:colOff>
      <xdr:row>0</xdr:row>
      <xdr:rowOff>38100</xdr:rowOff>
    </xdr:from>
    <xdr:to>
      <xdr:col>12</xdr:col>
      <xdr:colOff>15240</xdr:colOff>
      <xdr:row>9</xdr:row>
      <xdr:rowOff>160019</xdr:rowOff>
    </xdr:to>
    <mc:AlternateContent xmlns:mc="http://schemas.openxmlformats.org/markup-compatibility/2006" xmlns:a14="http://schemas.microsoft.com/office/drawing/2010/main">
      <mc:Choice Requires="a14">
        <xdr:graphicFrame macro="">
          <xdr:nvGraphicFramePr>
            <xdr:cNvPr id="2" name="Categoria">
              <a:extLst>
                <a:ext uri="{FF2B5EF4-FFF2-40B4-BE49-F238E27FC236}">
                  <a16:creationId xmlns:a16="http://schemas.microsoft.com/office/drawing/2014/main" id="{C0CF01A5-AA51-0E38-2392-961AAECE60BB}"/>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6240780" y="38100"/>
              <a:ext cx="1828800" cy="17678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15240</xdr:colOff>
      <xdr:row>0</xdr:row>
      <xdr:rowOff>53341</xdr:rowOff>
    </xdr:from>
    <xdr:to>
      <xdr:col>9</xdr:col>
      <xdr:colOff>15240</xdr:colOff>
      <xdr:row>9</xdr:row>
      <xdr:rowOff>160021</xdr:rowOff>
    </xdr:to>
    <mc:AlternateContent xmlns:mc="http://schemas.openxmlformats.org/markup-compatibility/2006" xmlns:a14="http://schemas.microsoft.com/office/drawing/2010/main">
      <mc:Choice Requires="a14">
        <xdr:graphicFrame macro="">
          <xdr:nvGraphicFramePr>
            <xdr:cNvPr id="3" name="Tipo">
              <a:extLst>
                <a:ext uri="{FF2B5EF4-FFF2-40B4-BE49-F238E27FC236}">
                  <a16:creationId xmlns:a16="http://schemas.microsoft.com/office/drawing/2014/main" id="{0DCC1707-CFB6-8BC5-1BC6-4A5F53717D51}"/>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4411980" y="53341"/>
              <a:ext cx="1828800" cy="1752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342900</xdr:colOff>
      <xdr:row>0</xdr:row>
      <xdr:rowOff>38101</xdr:rowOff>
    </xdr:from>
    <xdr:to>
      <xdr:col>5</xdr:col>
      <xdr:colOff>342900</xdr:colOff>
      <xdr:row>9</xdr:row>
      <xdr:rowOff>144780</xdr:rowOff>
    </xdr:to>
    <mc:AlternateContent xmlns:mc="http://schemas.openxmlformats.org/markup-compatibility/2006" xmlns:a14="http://schemas.microsoft.com/office/drawing/2010/main">
      <mc:Choice Requires="a14">
        <xdr:graphicFrame macro="">
          <xdr:nvGraphicFramePr>
            <xdr:cNvPr id="4" name="Departamento">
              <a:extLst>
                <a:ext uri="{FF2B5EF4-FFF2-40B4-BE49-F238E27FC236}">
                  <a16:creationId xmlns:a16="http://schemas.microsoft.com/office/drawing/2014/main" id="{B11A2A3B-3DD2-F7FB-C500-AC11DF117609}"/>
                </a:ext>
              </a:extLst>
            </xdr:cNvPr>
            <xdr:cNvGraphicFramePr/>
          </xdr:nvGraphicFramePr>
          <xdr:xfrm>
            <a:off x="0" y="0"/>
            <a:ext cx="0" cy="0"/>
          </xdr:xfrm>
          <a:graphic>
            <a:graphicData uri="http://schemas.microsoft.com/office/drawing/2010/slicer">
              <sle:slicer xmlns:sle="http://schemas.microsoft.com/office/drawing/2010/slicer" name="Departamento"/>
            </a:graphicData>
          </a:graphic>
        </xdr:graphicFrame>
      </mc:Choice>
      <mc:Fallback xmlns="">
        <xdr:sp macro="" textlink="">
          <xdr:nvSpPr>
            <xdr:cNvPr id="0" name=""/>
            <xdr:cNvSpPr>
              <a:spLocks noTextEdit="1"/>
            </xdr:cNvSpPr>
          </xdr:nvSpPr>
          <xdr:spPr>
            <a:xfrm>
              <a:off x="2301240" y="38101"/>
              <a:ext cx="1828800" cy="175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381000</xdr:colOff>
      <xdr:row>10</xdr:row>
      <xdr:rowOff>68580</xdr:rowOff>
    </xdr:from>
    <xdr:to>
      <xdr:col>12</xdr:col>
      <xdr:colOff>68580</xdr:colOff>
      <xdr:row>25</xdr:row>
      <xdr:rowOff>91440</xdr:rowOff>
    </xdr:to>
    <mc:AlternateContent xmlns:mc="http://schemas.openxmlformats.org/markup-compatibility/2006">
      <mc:Choice xmlns:tsle="http://schemas.microsoft.com/office/drawing/2012/timeslicer" Requires="tsle">
        <xdr:graphicFrame macro="">
          <xdr:nvGraphicFramePr>
            <xdr:cNvPr id="5" name="Fecha">
              <a:extLst>
                <a:ext uri="{FF2B5EF4-FFF2-40B4-BE49-F238E27FC236}">
                  <a16:creationId xmlns:a16="http://schemas.microsoft.com/office/drawing/2014/main" id="{876E1426-A290-06B2-2FC4-FD8EA69F6544}"/>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5996940" y="1897380"/>
              <a:ext cx="2125980" cy="276606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281940</xdr:colOff>
      <xdr:row>10</xdr:row>
      <xdr:rowOff>60960</xdr:rowOff>
    </xdr:from>
    <xdr:to>
      <xdr:col>8</xdr:col>
      <xdr:colOff>335280</xdr:colOff>
      <xdr:row>25</xdr:row>
      <xdr:rowOff>60960</xdr:rowOff>
    </xdr:to>
    <xdr:graphicFrame macro="">
      <xdr:nvGraphicFramePr>
        <xdr:cNvPr id="6" name="Chart 5">
          <a:extLst>
            <a:ext uri="{FF2B5EF4-FFF2-40B4-BE49-F238E27FC236}">
              <a16:creationId xmlns:a16="http://schemas.microsoft.com/office/drawing/2014/main" id="{E0F74F81-DB7D-E172-E5EA-38C6E17DA2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297180</xdr:colOff>
          <xdr:row>6</xdr:row>
          <xdr:rowOff>38100</xdr:rowOff>
        </xdr:from>
        <xdr:to>
          <xdr:col>8</xdr:col>
          <xdr:colOff>350520</xdr:colOff>
          <xdr:row>9</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Aplicar Formato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refreshedDate="46197.856233564817" createdVersion="8" refreshedVersion="8" minRefreshableVersion="3" recordCount="24" xr:uid="{378F007A-B308-485A-8494-2AF5F8AD403B}">
  <cacheSource type="worksheet">
    <worksheetSource name="Financiero2026"/>
  </cacheSource>
  <cacheFields count="7">
    <cacheField name="Fecha" numFmtId="164">
      <sharedItems containsSemiMixedTypes="0" containsNonDate="0" containsDate="1" containsString="0" minDate="2026-01-01T00:00:00" maxDate="2026-04-26T00:00:00" count="24">
        <d v="2026-01-01T00:00:00"/>
        <d v="2026-01-05T00:00:00"/>
        <d v="2026-01-10T00:00:00"/>
        <d v="2026-01-15T00:00:00"/>
        <d v="2026-01-20T00:00:00"/>
        <d v="2026-01-25T00:00:00"/>
        <d v="2026-02-01T00:00:00"/>
        <d v="2026-02-05T00:00:00"/>
        <d v="2026-02-10T00:00:00"/>
        <d v="2026-02-15T00:00:00"/>
        <d v="2026-02-20T00:00:00"/>
        <d v="2026-02-25T00:00:00"/>
        <d v="2026-03-01T00:00:00"/>
        <d v="2026-03-05T00:00:00"/>
        <d v="2026-03-10T00:00:00"/>
        <d v="2026-03-15T00:00:00"/>
        <d v="2026-03-20T00:00:00"/>
        <d v="2026-03-25T00:00:00"/>
        <d v="2026-04-01T00:00:00"/>
        <d v="2026-04-05T00:00:00"/>
        <d v="2026-04-10T00:00:00"/>
        <d v="2026-04-15T00:00:00"/>
        <d v="2026-04-20T00:00:00"/>
        <d v="2026-04-25T00:00:00"/>
      </sharedItems>
    </cacheField>
    <cacheField name="Categoria" numFmtId="0">
      <sharedItems count="2">
        <s v="Ingresos"/>
        <s v="Gastos"/>
      </sharedItems>
    </cacheField>
    <cacheField name="Subcategoria" numFmtId="0">
      <sharedItems count="5">
        <s v="Ventas"/>
        <s v="Nomina"/>
        <s v="Servicios"/>
        <s v="Operaciones"/>
        <s v="Marketing"/>
      </sharedItems>
    </cacheField>
    <cacheField name="Descripcion" numFmtId="0">
      <sharedItems/>
    </cacheField>
    <cacheField name="Monto" numFmtId="0">
      <sharedItems containsSemiMixedTypes="0" containsString="0" containsNumber="1" containsInteger="1" minValue="5000" maxValue="195000" count="20">
        <n v="150000"/>
        <n v="45000"/>
        <n v="25000"/>
        <n v="12000"/>
        <n v="120000"/>
        <n v="8000"/>
        <n v="165000"/>
        <n v="30000"/>
        <n v="5000"/>
        <n v="135000"/>
        <n v="9000"/>
        <n v="180000"/>
        <n v="28000"/>
        <n v="7000"/>
        <n v="142000"/>
        <n v="6000"/>
        <n v="195000"/>
        <n v="35000"/>
        <n v="158000"/>
        <n v="10000"/>
      </sharedItems>
    </cacheField>
    <cacheField name="Tipo" numFmtId="0">
      <sharedItems count="2">
        <s v="Ingreso"/>
        <s v="Gasto"/>
      </sharedItems>
    </cacheField>
    <cacheField name="Departamento" numFmtId="0">
      <sharedItems count="5">
        <s v="Ventas"/>
        <s v="RRHH"/>
        <s v="Operaciones"/>
        <s v="Administración"/>
        <s v="Marketing"/>
      </sharedItems>
    </cacheField>
  </cacheFields>
  <extLst>
    <ext xmlns:x14="http://schemas.microsoft.com/office/spreadsheetml/2009/9/main" uri="{725AE2AE-9491-48be-B2B4-4EB974FC3084}">
      <x14:pivotCacheDefinition pivotCacheId="7758744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s v="Ventas Sucursal Norte"/>
    <x v="0"/>
    <x v="0"/>
    <x v="0"/>
  </r>
  <r>
    <x v="1"/>
    <x v="1"/>
    <x v="1"/>
    <s v="Salarios Enero"/>
    <x v="1"/>
    <x v="1"/>
    <x v="1"/>
  </r>
  <r>
    <x v="2"/>
    <x v="0"/>
    <x v="2"/>
    <s v="Consultoría Enero"/>
    <x v="2"/>
    <x v="0"/>
    <x v="2"/>
  </r>
  <r>
    <x v="3"/>
    <x v="1"/>
    <x v="3"/>
    <s v="Alquiler Oficina"/>
    <x v="3"/>
    <x v="1"/>
    <x v="3"/>
  </r>
  <r>
    <x v="4"/>
    <x v="0"/>
    <x v="0"/>
    <s v="Ventas Sucursal Sur"/>
    <x v="4"/>
    <x v="0"/>
    <x v="0"/>
  </r>
  <r>
    <x v="5"/>
    <x v="1"/>
    <x v="4"/>
    <s v="Publicidad Digital"/>
    <x v="5"/>
    <x v="1"/>
    <x v="4"/>
  </r>
  <r>
    <x v="6"/>
    <x v="0"/>
    <x v="0"/>
    <s v="Ventas Sucursal Norte"/>
    <x v="6"/>
    <x v="0"/>
    <x v="0"/>
  </r>
  <r>
    <x v="7"/>
    <x v="1"/>
    <x v="1"/>
    <s v="Salarios Febrero"/>
    <x v="1"/>
    <x v="1"/>
    <x v="1"/>
  </r>
  <r>
    <x v="8"/>
    <x v="0"/>
    <x v="2"/>
    <s v="Consultoría Febrero"/>
    <x v="7"/>
    <x v="0"/>
    <x v="2"/>
  </r>
  <r>
    <x v="9"/>
    <x v="1"/>
    <x v="3"/>
    <s v="Mantenimiento"/>
    <x v="8"/>
    <x v="1"/>
    <x v="3"/>
  </r>
  <r>
    <x v="10"/>
    <x v="0"/>
    <x v="0"/>
    <s v="Ventas Sucursal Sur"/>
    <x v="9"/>
    <x v="0"/>
    <x v="0"/>
  </r>
  <r>
    <x v="11"/>
    <x v="1"/>
    <x v="4"/>
    <s v="Publicidad Redes"/>
    <x v="10"/>
    <x v="1"/>
    <x v="4"/>
  </r>
  <r>
    <x v="12"/>
    <x v="0"/>
    <x v="0"/>
    <s v="Ventas Sucursal Norte"/>
    <x v="11"/>
    <x v="0"/>
    <x v="0"/>
  </r>
  <r>
    <x v="13"/>
    <x v="1"/>
    <x v="1"/>
    <s v="Salarios Marzo"/>
    <x v="1"/>
    <x v="1"/>
    <x v="1"/>
  </r>
  <r>
    <x v="14"/>
    <x v="0"/>
    <x v="2"/>
    <s v="Consultoría Marzo"/>
    <x v="12"/>
    <x v="0"/>
    <x v="2"/>
  </r>
  <r>
    <x v="15"/>
    <x v="1"/>
    <x v="3"/>
    <s v="Servicios Públicos"/>
    <x v="13"/>
    <x v="1"/>
    <x v="3"/>
  </r>
  <r>
    <x v="16"/>
    <x v="0"/>
    <x v="0"/>
    <s v="Ventas Sucursal Sur"/>
    <x v="14"/>
    <x v="0"/>
    <x v="0"/>
  </r>
  <r>
    <x v="17"/>
    <x v="1"/>
    <x v="4"/>
    <s v="Campaña Email"/>
    <x v="15"/>
    <x v="1"/>
    <x v="4"/>
  </r>
  <r>
    <x v="18"/>
    <x v="0"/>
    <x v="0"/>
    <s v="Ventas Sucursal Norte"/>
    <x v="16"/>
    <x v="0"/>
    <x v="0"/>
  </r>
  <r>
    <x v="19"/>
    <x v="1"/>
    <x v="1"/>
    <s v="Salarios Abril"/>
    <x v="1"/>
    <x v="1"/>
    <x v="1"/>
  </r>
  <r>
    <x v="20"/>
    <x v="0"/>
    <x v="2"/>
    <s v="Consultoría Abril"/>
    <x v="17"/>
    <x v="0"/>
    <x v="2"/>
  </r>
  <r>
    <x v="21"/>
    <x v="1"/>
    <x v="3"/>
    <s v="Alquiler Oficina"/>
    <x v="3"/>
    <x v="1"/>
    <x v="3"/>
  </r>
  <r>
    <x v="22"/>
    <x v="0"/>
    <x v="0"/>
    <s v="Ventas Sucursal Sur"/>
    <x v="18"/>
    <x v="0"/>
    <x v="0"/>
  </r>
  <r>
    <x v="23"/>
    <x v="1"/>
    <x v="4"/>
    <s v="Publicidad Digital"/>
    <x v="19"/>
    <x v="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C72729-9160-43A5-AFE5-DB59AEF67537}" name="Analisis Financiero"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B11" firstHeaderRow="1" firstDataRow="1" firstDataCol="1" rowPageCount="1" colPageCount="1"/>
  <pivotFields count="7">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sortType="descending">
      <items count="3">
        <item x="0"/>
        <item x="1"/>
        <item t="default"/>
      </items>
    </pivotField>
    <pivotField axis="axisRow" showAll="0" sortType="descending">
      <items count="6">
        <item x="4"/>
        <item x="1"/>
        <item x="3"/>
        <item x="2"/>
        <item x="0"/>
        <item t="default"/>
      </items>
      <autoSortScope>
        <pivotArea dataOnly="0" outline="0" fieldPosition="0">
          <references count="1">
            <reference field="4294967294" count="1" selected="0">
              <x v="0"/>
            </reference>
          </references>
        </pivotArea>
      </autoSortScope>
    </pivotField>
    <pivotField showAll="0"/>
    <pivotField dataField="1" showAll="0">
      <items count="21">
        <item x="8"/>
        <item x="15"/>
        <item x="13"/>
        <item x="5"/>
        <item x="10"/>
        <item x="19"/>
        <item x="3"/>
        <item x="2"/>
        <item x="12"/>
        <item x="7"/>
        <item x="17"/>
        <item x="1"/>
        <item x="4"/>
        <item x="9"/>
        <item x="14"/>
        <item x="0"/>
        <item x="18"/>
        <item x="6"/>
        <item x="11"/>
        <item x="16"/>
        <item t="default"/>
      </items>
    </pivotField>
    <pivotField axis="axisPage" multipleItemSelectionAllowed="1" showAll="0">
      <items count="3">
        <item x="1"/>
        <item x="0"/>
        <item t="default"/>
      </items>
    </pivotField>
    <pivotField showAll="0">
      <items count="6">
        <item x="3"/>
        <item x="4"/>
        <item x="2"/>
        <item x="1"/>
        <item x="0"/>
        <item t="default"/>
      </items>
    </pivotField>
  </pivotFields>
  <rowFields count="2">
    <field x="1"/>
    <field x="2"/>
  </rowFields>
  <rowItems count="8">
    <i>
      <x/>
    </i>
    <i r="1">
      <x v="4"/>
    </i>
    <i r="1">
      <x v="3"/>
    </i>
    <i>
      <x v="1"/>
    </i>
    <i r="1">
      <x v="1"/>
    </i>
    <i r="1">
      <x v="2"/>
    </i>
    <i r="1">
      <x/>
    </i>
    <i t="grand">
      <x/>
    </i>
  </rowItems>
  <colItems count="1">
    <i/>
  </colItems>
  <pageFields count="1">
    <pageField fld="5" hier="-1"/>
  </pageFields>
  <dataFields count="1">
    <dataField name="Sum of Monto"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411DAEC-32F1-4792-9621-E966C98F24E9}" sourceName="Categoria">
  <pivotTables>
    <pivotTable tabId="4" name="Analisis Financiero"/>
  </pivotTables>
  <data>
    <tabular pivotCacheId="77587445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o" xr10:uid="{668F0A3A-A5BB-4040-8733-291136838433}" sourceName="Tipo">
  <pivotTables>
    <pivotTable tabId="4" name="Analisis Financiero"/>
  </pivotTables>
  <data>
    <tabular pivotCacheId="77587445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amento" xr10:uid="{65878934-361E-48AC-A234-A3C15902E63D}" sourceName="Departamento">
  <pivotTables>
    <pivotTable tabId="4" name="Analisis Financiero"/>
  </pivotTables>
  <data>
    <tabular pivotCacheId="775874453">
      <items count="5">
        <i x="3" s="1"/>
        <i x="4"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ia" xr10:uid="{B660084D-F79B-4D8D-A53D-CED0B752F504}" cache="Slicer_Categoria" caption="Categoria" rowHeight="234950"/>
  <slicer name="Tipo" xr10:uid="{DB8BE18E-F016-466E-8974-9428F2B92FFA}" cache="Slicer_Tipo" caption="Tipo" rowHeight="234950"/>
  <slicer name="Departamento" xr10:uid="{8068659A-47AF-4B87-8616-8F059D0D1A2B}" cache="Slicer_Departamento" caption="Departamento"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314650-D381-4AC4-8A83-2DCB28DDC414}" name="Financiero2026" displayName="Financiero2026" ref="A1:G25" totalsRowShown="0" headerRowDxfId="13" dataDxfId="12">
  <autoFilter ref="A1:G25" xr:uid="{2F314650-D381-4AC4-8A83-2DCB28DDC414}"/>
  <tableColumns count="7">
    <tableColumn id="1" xr3:uid="{96FCD38E-D517-465F-8764-15851367473D}" name="Fecha" dataDxfId="11"/>
    <tableColumn id="2" xr3:uid="{B33D8D29-FF12-4F77-B4D2-B31563031F65}" name="Categoria" dataDxfId="10"/>
    <tableColumn id="3" xr3:uid="{2DBC8493-C6DC-42C1-8B2B-5C732A42661B}" name="Subcategoria" dataDxfId="9"/>
    <tableColumn id="4" xr3:uid="{041CF33F-AC1A-4F75-872C-B9DF4E2AF11D}" name="Descripcion" dataDxfId="8"/>
    <tableColumn id="5" xr3:uid="{925AFC07-585C-48C3-83A3-7C2AEF6DD00F}" name="Monto" dataDxfId="7"/>
    <tableColumn id="6" xr3:uid="{8351EC3D-7BEC-45EB-ACB6-A3BF3E51FDF7}" name="Tipo" dataDxfId="6"/>
    <tableColumn id="7" xr3:uid="{6915274F-3239-4070-AED3-42830886887A}" name="Departamento"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D4A54376-9DD1-4621-8E87-BDF59B67A180}" sourceName="Fecha">
  <pivotTables>
    <pivotTable tabId="4" name="Analisis Financiero"/>
  </pivotTables>
  <state minimalRefreshVersion="6" lastRefreshVersion="6" pivotCacheId="775874453"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D479BF59-7EDA-4281-983D-A794171E47D0}" cache="NativeTimeline_Fecha" caption="Fecha" level="2" selectionLevel="2"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BF88C-5598-4826-8C3E-909366255F21}">
  <dimension ref="A1:I26"/>
  <sheetViews>
    <sheetView workbookViewId="0">
      <selection activeCell="B28" sqref="B28"/>
    </sheetView>
  </sheetViews>
  <sheetFormatPr defaultRowHeight="14.4" x14ac:dyDescent="0.3"/>
  <cols>
    <col min="1" max="1" width="10.109375" style="1" bestFit="1" customWidth="1"/>
    <col min="2" max="2" width="11.6640625" bestFit="1" customWidth="1"/>
    <col min="3" max="3" width="14.44140625" bestFit="1" customWidth="1"/>
    <col min="4" max="4" width="19.109375" bestFit="1" customWidth="1"/>
    <col min="5" max="5" width="9.109375" bestFit="1" customWidth="1"/>
    <col min="6" max="6" width="7.21875" bestFit="1" customWidth="1"/>
    <col min="7" max="7" width="15.6640625" bestFit="1" customWidth="1"/>
  </cols>
  <sheetData>
    <row r="1" spans="1:9" x14ac:dyDescent="0.3">
      <c r="A1" s="14" t="s">
        <v>0</v>
      </c>
      <c r="B1" s="2" t="s">
        <v>1</v>
      </c>
      <c r="C1" s="2" t="s">
        <v>2</v>
      </c>
      <c r="D1" s="2" t="s">
        <v>3</v>
      </c>
      <c r="E1" s="2" t="s">
        <v>4</v>
      </c>
      <c r="F1" s="2" t="s">
        <v>5</v>
      </c>
      <c r="G1" s="2" t="s">
        <v>6</v>
      </c>
      <c r="H1" s="2"/>
      <c r="I1" s="2"/>
    </row>
    <row r="2" spans="1:9" x14ac:dyDescent="0.3">
      <c r="A2" s="14">
        <v>46023</v>
      </c>
      <c r="B2" s="2" t="s">
        <v>7</v>
      </c>
      <c r="C2" s="2" t="s">
        <v>8</v>
      </c>
      <c r="D2" s="2" t="s">
        <v>9</v>
      </c>
      <c r="E2" s="2">
        <v>150000</v>
      </c>
      <c r="F2" s="2" t="s">
        <v>10</v>
      </c>
      <c r="G2" s="2" t="s">
        <v>8</v>
      </c>
      <c r="H2" s="2"/>
      <c r="I2" s="2"/>
    </row>
    <row r="3" spans="1:9" x14ac:dyDescent="0.3">
      <c r="A3" s="14">
        <v>46027</v>
      </c>
      <c r="B3" s="2" t="s">
        <v>11</v>
      </c>
      <c r="C3" s="2" t="s">
        <v>12</v>
      </c>
      <c r="D3" s="2" t="s">
        <v>13</v>
      </c>
      <c r="E3" s="2">
        <v>45000</v>
      </c>
      <c r="F3" s="2" t="s">
        <v>14</v>
      </c>
      <c r="G3" s="2" t="s">
        <v>15</v>
      </c>
      <c r="H3" s="2"/>
      <c r="I3" s="2"/>
    </row>
    <row r="4" spans="1:9" x14ac:dyDescent="0.3">
      <c r="A4" s="14">
        <v>46032</v>
      </c>
      <c r="B4" s="2" t="s">
        <v>7</v>
      </c>
      <c r="C4" s="2" t="s">
        <v>16</v>
      </c>
      <c r="D4" s="2" t="s">
        <v>17</v>
      </c>
      <c r="E4" s="2">
        <v>25000</v>
      </c>
      <c r="F4" s="2" t="s">
        <v>10</v>
      </c>
      <c r="G4" s="2" t="s">
        <v>18</v>
      </c>
      <c r="H4" s="2"/>
      <c r="I4" s="2"/>
    </row>
    <row r="5" spans="1:9" x14ac:dyDescent="0.3">
      <c r="A5" s="14">
        <v>46037</v>
      </c>
      <c r="B5" s="2" t="s">
        <v>11</v>
      </c>
      <c r="C5" s="2" t="s">
        <v>18</v>
      </c>
      <c r="D5" s="2" t="s">
        <v>19</v>
      </c>
      <c r="E5" s="2">
        <v>12000</v>
      </c>
      <c r="F5" s="2" t="s">
        <v>14</v>
      </c>
      <c r="G5" s="2" t="s">
        <v>20</v>
      </c>
      <c r="H5" s="2"/>
      <c r="I5" s="2"/>
    </row>
    <row r="6" spans="1:9" x14ac:dyDescent="0.3">
      <c r="A6" s="14">
        <v>46042</v>
      </c>
      <c r="B6" s="2" t="s">
        <v>7</v>
      </c>
      <c r="C6" s="2" t="s">
        <v>8</v>
      </c>
      <c r="D6" s="2" t="s">
        <v>21</v>
      </c>
      <c r="E6" s="2">
        <v>120000</v>
      </c>
      <c r="F6" s="2" t="s">
        <v>10</v>
      </c>
      <c r="G6" s="2" t="s">
        <v>8</v>
      </c>
      <c r="H6" s="2"/>
      <c r="I6" s="2"/>
    </row>
    <row r="7" spans="1:9" x14ac:dyDescent="0.3">
      <c r="A7" s="14">
        <v>46047</v>
      </c>
      <c r="B7" s="2" t="s">
        <v>11</v>
      </c>
      <c r="C7" s="2" t="s">
        <v>22</v>
      </c>
      <c r="D7" s="2" t="s">
        <v>23</v>
      </c>
      <c r="E7" s="2">
        <v>8000</v>
      </c>
      <c r="F7" s="2" t="s">
        <v>14</v>
      </c>
      <c r="G7" s="2" t="s">
        <v>22</v>
      </c>
      <c r="H7" s="2"/>
      <c r="I7" s="2"/>
    </row>
    <row r="8" spans="1:9" x14ac:dyDescent="0.3">
      <c r="A8" s="14">
        <v>46054</v>
      </c>
      <c r="B8" s="2" t="s">
        <v>7</v>
      </c>
      <c r="C8" s="2" t="s">
        <v>8</v>
      </c>
      <c r="D8" s="2" t="s">
        <v>9</v>
      </c>
      <c r="E8" s="2">
        <v>165000</v>
      </c>
      <c r="F8" s="2" t="s">
        <v>10</v>
      </c>
      <c r="G8" s="2" t="s">
        <v>8</v>
      </c>
      <c r="H8" s="2"/>
      <c r="I8" s="2"/>
    </row>
    <row r="9" spans="1:9" x14ac:dyDescent="0.3">
      <c r="A9" s="14">
        <v>46058</v>
      </c>
      <c r="B9" s="2" t="s">
        <v>11</v>
      </c>
      <c r="C9" s="2" t="s">
        <v>12</v>
      </c>
      <c r="D9" s="2" t="s">
        <v>24</v>
      </c>
      <c r="E9" s="2">
        <v>45000</v>
      </c>
      <c r="F9" s="2" t="s">
        <v>14</v>
      </c>
      <c r="G9" s="2" t="s">
        <v>15</v>
      </c>
      <c r="H9" s="2"/>
      <c r="I9" s="2"/>
    </row>
    <row r="10" spans="1:9" x14ac:dyDescent="0.3">
      <c r="A10" s="14">
        <v>46063</v>
      </c>
      <c r="B10" s="2" t="s">
        <v>7</v>
      </c>
      <c r="C10" s="2" t="s">
        <v>16</v>
      </c>
      <c r="D10" s="2" t="s">
        <v>25</v>
      </c>
      <c r="E10" s="2">
        <v>30000</v>
      </c>
      <c r="F10" s="2" t="s">
        <v>10</v>
      </c>
      <c r="G10" s="2" t="s">
        <v>18</v>
      </c>
      <c r="H10" s="2"/>
      <c r="I10" s="2"/>
    </row>
    <row r="11" spans="1:9" x14ac:dyDescent="0.3">
      <c r="A11" s="14">
        <v>46068</v>
      </c>
      <c r="B11" s="2" t="s">
        <v>11</v>
      </c>
      <c r="C11" s="2" t="s">
        <v>18</v>
      </c>
      <c r="D11" s="2" t="s">
        <v>26</v>
      </c>
      <c r="E11" s="2">
        <v>5000</v>
      </c>
      <c r="F11" s="2" t="s">
        <v>14</v>
      </c>
      <c r="G11" s="2" t="s">
        <v>20</v>
      </c>
      <c r="H11" s="2"/>
      <c r="I11" s="2"/>
    </row>
    <row r="12" spans="1:9" x14ac:dyDescent="0.3">
      <c r="A12" s="14">
        <v>46073</v>
      </c>
      <c r="B12" s="2" t="s">
        <v>7</v>
      </c>
      <c r="C12" s="2" t="s">
        <v>8</v>
      </c>
      <c r="D12" s="2" t="s">
        <v>21</v>
      </c>
      <c r="E12" s="2">
        <v>135000</v>
      </c>
      <c r="F12" s="2" t="s">
        <v>10</v>
      </c>
      <c r="G12" s="2" t="s">
        <v>8</v>
      </c>
      <c r="H12" s="2"/>
      <c r="I12" s="2"/>
    </row>
    <row r="13" spans="1:9" x14ac:dyDescent="0.3">
      <c r="A13" s="14">
        <v>46078</v>
      </c>
      <c r="B13" s="2" t="s">
        <v>11</v>
      </c>
      <c r="C13" s="2" t="s">
        <v>22</v>
      </c>
      <c r="D13" s="2" t="s">
        <v>27</v>
      </c>
      <c r="E13" s="2">
        <v>9000</v>
      </c>
      <c r="F13" s="2" t="s">
        <v>14</v>
      </c>
      <c r="G13" s="2" t="s">
        <v>22</v>
      </c>
      <c r="H13" s="2"/>
      <c r="I13" s="2"/>
    </row>
    <row r="14" spans="1:9" x14ac:dyDescent="0.3">
      <c r="A14" s="14">
        <v>46082</v>
      </c>
      <c r="B14" s="2" t="s">
        <v>7</v>
      </c>
      <c r="C14" s="2" t="s">
        <v>8</v>
      </c>
      <c r="D14" s="2" t="s">
        <v>9</v>
      </c>
      <c r="E14" s="2">
        <v>180000</v>
      </c>
      <c r="F14" s="2" t="s">
        <v>10</v>
      </c>
      <c r="G14" s="2" t="s">
        <v>8</v>
      </c>
      <c r="H14" s="2"/>
      <c r="I14" s="2"/>
    </row>
    <row r="15" spans="1:9" x14ac:dyDescent="0.3">
      <c r="A15" s="14">
        <v>46086</v>
      </c>
      <c r="B15" s="2" t="s">
        <v>11</v>
      </c>
      <c r="C15" s="2" t="s">
        <v>12</v>
      </c>
      <c r="D15" s="2" t="s">
        <v>28</v>
      </c>
      <c r="E15" s="2">
        <v>45000</v>
      </c>
      <c r="F15" s="2" t="s">
        <v>14</v>
      </c>
      <c r="G15" s="2" t="s">
        <v>15</v>
      </c>
      <c r="H15" s="2"/>
      <c r="I15" s="2"/>
    </row>
    <row r="16" spans="1:9" x14ac:dyDescent="0.3">
      <c r="A16" s="14">
        <v>46091</v>
      </c>
      <c r="B16" s="2" t="s">
        <v>7</v>
      </c>
      <c r="C16" s="2" t="s">
        <v>16</v>
      </c>
      <c r="D16" s="2" t="s">
        <v>29</v>
      </c>
      <c r="E16" s="2">
        <v>28000</v>
      </c>
      <c r="F16" s="2" t="s">
        <v>10</v>
      </c>
      <c r="G16" s="2" t="s">
        <v>18</v>
      </c>
      <c r="H16" s="2"/>
      <c r="I16" s="2"/>
    </row>
    <row r="17" spans="1:9" x14ac:dyDescent="0.3">
      <c r="A17" s="14">
        <v>46096</v>
      </c>
      <c r="B17" s="2" t="s">
        <v>11</v>
      </c>
      <c r="C17" s="2" t="s">
        <v>18</v>
      </c>
      <c r="D17" s="2" t="s">
        <v>30</v>
      </c>
      <c r="E17" s="2">
        <v>7000</v>
      </c>
      <c r="F17" s="2" t="s">
        <v>14</v>
      </c>
      <c r="G17" s="2" t="s">
        <v>20</v>
      </c>
      <c r="H17" s="2"/>
      <c r="I17" s="2"/>
    </row>
    <row r="18" spans="1:9" x14ac:dyDescent="0.3">
      <c r="A18" s="14">
        <v>46101</v>
      </c>
      <c r="B18" s="2" t="s">
        <v>7</v>
      </c>
      <c r="C18" s="2" t="s">
        <v>8</v>
      </c>
      <c r="D18" s="2" t="s">
        <v>21</v>
      </c>
      <c r="E18" s="2">
        <v>142000</v>
      </c>
      <c r="F18" s="2" t="s">
        <v>10</v>
      </c>
      <c r="G18" s="2" t="s">
        <v>8</v>
      </c>
      <c r="H18" s="2"/>
      <c r="I18" s="2"/>
    </row>
    <row r="19" spans="1:9" x14ac:dyDescent="0.3">
      <c r="A19" s="14">
        <v>46106</v>
      </c>
      <c r="B19" s="2" t="s">
        <v>11</v>
      </c>
      <c r="C19" s="2" t="s">
        <v>22</v>
      </c>
      <c r="D19" s="2" t="s">
        <v>31</v>
      </c>
      <c r="E19" s="2">
        <v>6000</v>
      </c>
      <c r="F19" s="2" t="s">
        <v>14</v>
      </c>
      <c r="G19" s="2" t="s">
        <v>22</v>
      </c>
      <c r="H19" s="2"/>
      <c r="I19" s="2"/>
    </row>
    <row r="20" spans="1:9" x14ac:dyDescent="0.3">
      <c r="A20" s="14">
        <v>46113</v>
      </c>
      <c r="B20" s="2" t="s">
        <v>7</v>
      </c>
      <c r="C20" s="2" t="s">
        <v>8</v>
      </c>
      <c r="D20" s="2" t="s">
        <v>9</v>
      </c>
      <c r="E20" s="2">
        <v>195000</v>
      </c>
      <c r="F20" s="2" t="s">
        <v>10</v>
      </c>
      <c r="G20" s="2" t="s">
        <v>8</v>
      </c>
      <c r="H20" s="2"/>
      <c r="I20" s="2"/>
    </row>
    <row r="21" spans="1:9" x14ac:dyDescent="0.3">
      <c r="A21" s="14">
        <v>46117</v>
      </c>
      <c r="B21" s="2" t="s">
        <v>11</v>
      </c>
      <c r="C21" s="2" t="s">
        <v>12</v>
      </c>
      <c r="D21" s="2" t="s">
        <v>32</v>
      </c>
      <c r="E21" s="2">
        <v>45000</v>
      </c>
      <c r="F21" s="2" t="s">
        <v>14</v>
      </c>
      <c r="G21" s="2" t="s">
        <v>15</v>
      </c>
      <c r="H21" s="2"/>
      <c r="I21" s="2"/>
    </row>
    <row r="22" spans="1:9" x14ac:dyDescent="0.3">
      <c r="A22" s="14">
        <v>46122</v>
      </c>
      <c r="B22" s="2" t="s">
        <v>7</v>
      </c>
      <c r="C22" s="2" t="s">
        <v>16</v>
      </c>
      <c r="D22" s="2" t="s">
        <v>33</v>
      </c>
      <c r="E22" s="2">
        <v>35000</v>
      </c>
      <c r="F22" s="2" t="s">
        <v>10</v>
      </c>
      <c r="G22" s="2" t="s">
        <v>18</v>
      </c>
      <c r="H22" s="2"/>
      <c r="I22" s="2"/>
    </row>
    <row r="23" spans="1:9" x14ac:dyDescent="0.3">
      <c r="A23" s="14">
        <v>46127</v>
      </c>
      <c r="B23" s="2" t="s">
        <v>11</v>
      </c>
      <c r="C23" s="2" t="s">
        <v>18</v>
      </c>
      <c r="D23" s="2" t="s">
        <v>19</v>
      </c>
      <c r="E23" s="2">
        <v>12000</v>
      </c>
      <c r="F23" s="2" t="s">
        <v>14</v>
      </c>
      <c r="G23" s="2" t="s">
        <v>20</v>
      </c>
      <c r="H23" s="2"/>
      <c r="I23" s="2"/>
    </row>
    <row r="24" spans="1:9" x14ac:dyDescent="0.3">
      <c r="A24" s="14">
        <v>46132</v>
      </c>
      <c r="B24" s="2" t="s">
        <v>7</v>
      </c>
      <c r="C24" s="2" t="s">
        <v>8</v>
      </c>
      <c r="D24" s="2" t="s">
        <v>21</v>
      </c>
      <c r="E24" s="2">
        <v>158000</v>
      </c>
      <c r="F24" s="2" t="s">
        <v>10</v>
      </c>
      <c r="G24" s="2" t="s">
        <v>8</v>
      </c>
      <c r="H24" s="2"/>
      <c r="I24" s="2"/>
    </row>
    <row r="25" spans="1:9" x14ac:dyDescent="0.3">
      <c r="A25" s="14">
        <v>46137</v>
      </c>
      <c r="B25" s="2" t="s">
        <v>11</v>
      </c>
      <c r="C25" s="2" t="s">
        <v>22</v>
      </c>
      <c r="D25" s="2" t="s">
        <v>23</v>
      </c>
      <c r="E25" s="2">
        <v>10000</v>
      </c>
      <c r="F25" s="2" t="s">
        <v>14</v>
      </c>
      <c r="G25" s="2" t="s">
        <v>22</v>
      </c>
      <c r="H25" s="2"/>
      <c r="I25" s="2"/>
    </row>
    <row r="26" spans="1:9" x14ac:dyDescent="0.3">
      <c r="A26" s="14"/>
      <c r="B26" s="2"/>
      <c r="C26" s="2"/>
      <c r="D26" s="2"/>
      <c r="E26" s="2"/>
      <c r="F26" s="2"/>
      <c r="G26" s="2"/>
      <c r="H26" s="2"/>
      <c r="I26"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09F37-82D3-48EA-A3C7-270C361AD567}">
  <dimension ref="A1:J21"/>
  <sheetViews>
    <sheetView workbookViewId="0">
      <selection activeCell="B9" sqref="B9"/>
    </sheetView>
  </sheetViews>
  <sheetFormatPr defaultRowHeight="14.4" x14ac:dyDescent="0.3"/>
  <cols>
    <col min="1" max="1" width="24.6640625" bestFit="1" customWidth="1"/>
    <col min="2" max="2" width="17" style="4" customWidth="1"/>
  </cols>
  <sheetData>
    <row r="1" spans="1:10" ht="18" x14ac:dyDescent="0.35">
      <c r="A1" s="21" t="s">
        <v>34</v>
      </c>
      <c r="B1" s="21"/>
      <c r="C1" s="21"/>
      <c r="D1" s="21"/>
      <c r="E1" s="21"/>
      <c r="F1" s="21"/>
      <c r="G1" s="2"/>
      <c r="H1" s="2"/>
      <c r="I1" s="2"/>
      <c r="J1" s="2"/>
    </row>
    <row r="2" spans="1:10" x14ac:dyDescent="0.3">
      <c r="A2" s="2"/>
      <c r="B2" s="3"/>
      <c r="C2" s="2"/>
      <c r="D2" s="2"/>
      <c r="E2" s="2"/>
      <c r="F2" s="2"/>
      <c r="G2" s="2"/>
      <c r="H2" s="2"/>
      <c r="I2" s="2"/>
      <c r="J2" s="2"/>
    </row>
    <row r="3" spans="1:10" x14ac:dyDescent="0.3">
      <c r="A3" s="15" t="s">
        <v>35</v>
      </c>
      <c r="B3" s="16" t="s">
        <v>36</v>
      </c>
      <c r="C3" s="2"/>
      <c r="D3" s="2"/>
      <c r="E3" s="2"/>
      <c r="F3" s="2"/>
      <c r="G3" s="2"/>
      <c r="H3" s="2"/>
      <c r="I3" s="2"/>
      <c r="J3" s="2"/>
    </row>
    <row r="4" spans="1:10" x14ac:dyDescent="0.3">
      <c r="A4" s="17" t="s">
        <v>37</v>
      </c>
      <c r="B4" s="18">
        <f>SUMIF(Datos!F:F, "Ingreso", Datos!E:E)</f>
        <v>1363000</v>
      </c>
      <c r="C4" s="2"/>
      <c r="D4" s="2"/>
      <c r="E4" s="2"/>
      <c r="F4" s="2"/>
      <c r="G4" s="2"/>
      <c r="H4" s="2"/>
      <c r="I4" s="2"/>
      <c r="J4" s="2"/>
    </row>
    <row r="5" spans="1:10" x14ac:dyDescent="0.3">
      <c r="A5" s="17" t="s">
        <v>41</v>
      </c>
      <c r="B5" s="18">
        <f>SUMIF(Datos!F:F, "Gasto", Datos!E:E)</f>
        <v>249000</v>
      </c>
      <c r="C5" s="2"/>
      <c r="D5" s="2"/>
      <c r="E5" s="2"/>
      <c r="F5" s="2"/>
      <c r="G5" s="2"/>
      <c r="H5" s="2"/>
      <c r="I5" s="2"/>
      <c r="J5" s="2"/>
    </row>
    <row r="6" spans="1:10" x14ac:dyDescent="0.3">
      <c r="A6" s="17" t="s">
        <v>58</v>
      </c>
      <c r="B6" s="18">
        <f>B4-B5</f>
        <v>1114000</v>
      </c>
      <c r="C6" s="2"/>
      <c r="D6" s="2"/>
      <c r="E6" s="2"/>
      <c r="F6" s="2"/>
      <c r="G6" s="2"/>
      <c r="H6" s="2"/>
      <c r="I6" s="2"/>
      <c r="J6" s="2"/>
    </row>
    <row r="7" spans="1:10" x14ac:dyDescent="0.3">
      <c r="A7" s="17" t="s">
        <v>39</v>
      </c>
      <c r="B7" s="19">
        <f>COUNTA(Datos!A:A)-1</f>
        <v>24</v>
      </c>
      <c r="C7" s="2"/>
      <c r="D7" s="2"/>
      <c r="E7" s="2"/>
      <c r="F7" s="2"/>
      <c r="G7" s="2"/>
      <c r="H7" s="2"/>
      <c r="I7" s="2"/>
      <c r="J7" s="2"/>
    </row>
    <row r="8" spans="1:10" x14ac:dyDescent="0.3">
      <c r="A8" s="17" t="s">
        <v>40</v>
      </c>
      <c r="B8" s="18">
        <f>AVERAGEIF(Datos!F:F, "Ingreso",Datos!E:E)</f>
        <v>113583.33333333333</v>
      </c>
      <c r="C8" s="2"/>
      <c r="D8" s="2"/>
      <c r="E8" s="2"/>
      <c r="F8" s="2"/>
      <c r="G8" s="2"/>
      <c r="H8" s="2"/>
      <c r="I8" s="2"/>
      <c r="J8" s="2"/>
    </row>
    <row r="9" spans="1:10" x14ac:dyDescent="0.3">
      <c r="A9" s="17" t="s">
        <v>42</v>
      </c>
      <c r="B9" s="18">
        <f>AVERAGEIF(Datos!F:F, "Gasto", Datos!E:E)</f>
        <v>20750</v>
      </c>
      <c r="C9" s="2"/>
      <c r="D9" s="2"/>
      <c r="E9" s="2"/>
      <c r="F9" s="2"/>
      <c r="G9" s="2"/>
      <c r="H9" s="2"/>
      <c r="I9" s="2"/>
      <c r="J9" s="2"/>
    </row>
    <row r="10" spans="1:10" x14ac:dyDescent="0.3">
      <c r="A10" s="2"/>
      <c r="B10" s="3"/>
      <c r="C10" s="2"/>
      <c r="D10" s="2"/>
      <c r="E10" s="2"/>
      <c r="F10" s="2"/>
      <c r="G10" s="2"/>
      <c r="H10" s="2"/>
      <c r="I10" s="2"/>
      <c r="J10" s="2"/>
    </row>
    <row r="11" spans="1:10" x14ac:dyDescent="0.3">
      <c r="A11" s="2"/>
      <c r="B11" s="3"/>
      <c r="C11" s="2"/>
      <c r="D11" s="2"/>
      <c r="E11" s="2"/>
      <c r="F11" s="2"/>
      <c r="G11" s="2"/>
      <c r="H11" s="2"/>
      <c r="I11" s="2"/>
      <c r="J11" s="2"/>
    </row>
    <row r="12" spans="1:10" x14ac:dyDescent="0.3">
      <c r="A12" s="2"/>
      <c r="B12" s="3"/>
      <c r="C12" s="2"/>
      <c r="D12" s="2"/>
      <c r="E12" s="2"/>
      <c r="F12" s="2"/>
      <c r="G12" s="2"/>
      <c r="H12" s="2"/>
      <c r="I12" s="2"/>
      <c r="J12" s="2"/>
    </row>
    <row r="13" spans="1:10" x14ac:dyDescent="0.3">
      <c r="A13" s="2"/>
      <c r="B13" s="3"/>
      <c r="C13" s="2"/>
      <c r="D13" s="2"/>
      <c r="E13" s="2"/>
      <c r="F13" s="2"/>
      <c r="G13" s="2"/>
      <c r="H13" s="2"/>
      <c r="I13" s="2"/>
      <c r="J13" s="2"/>
    </row>
    <row r="14" spans="1:10" x14ac:dyDescent="0.3">
      <c r="A14" s="2"/>
      <c r="B14" s="3"/>
      <c r="C14" s="2"/>
      <c r="D14" s="2"/>
      <c r="E14" s="2"/>
      <c r="F14" s="2"/>
      <c r="G14" s="2"/>
      <c r="H14" s="2"/>
      <c r="I14" s="2"/>
      <c r="J14" s="2"/>
    </row>
    <row r="15" spans="1:10" x14ac:dyDescent="0.3">
      <c r="A15" s="2"/>
      <c r="B15" s="3"/>
      <c r="C15" s="2"/>
      <c r="D15" s="2"/>
      <c r="E15" s="2"/>
      <c r="F15" s="2"/>
      <c r="G15" s="2"/>
      <c r="H15" s="2"/>
      <c r="I15" s="2"/>
      <c r="J15" s="2"/>
    </row>
    <row r="16" spans="1:10" x14ac:dyDescent="0.3">
      <c r="A16" s="2"/>
      <c r="B16" s="3"/>
      <c r="C16" s="2"/>
      <c r="D16" s="2"/>
      <c r="E16" s="2"/>
      <c r="F16" s="2"/>
      <c r="G16" s="2"/>
      <c r="H16" s="2"/>
      <c r="I16" s="2"/>
      <c r="J16" s="2"/>
    </row>
    <row r="17" spans="1:10" x14ac:dyDescent="0.3">
      <c r="A17" s="2"/>
      <c r="B17" s="3"/>
      <c r="C17" s="2"/>
      <c r="D17" s="2"/>
      <c r="E17" s="2"/>
      <c r="F17" s="2"/>
      <c r="G17" s="2"/>
      <c r="H17" s="2"/>
      <c r="I17" s="2"/>
      <c r="J17" s="2"/>
    </row>
    <row r="18" spans="1:10" x14ac:dyDescent="0.3">
      <c r="A18" s="2"/>
      <c r="B18" s="3"/>
      <c r="C18" s="2"/>
      <c r="D18" s="2"/>
      <c r="E18" s="2"/>
      <c r="F18" s="2"/>
      <c r="G18" s="2"/>
      <c r="H18" s="2"/>
      <c r="I18" s="2"/>
      <c r="J18" s="2"/>
    </row>
    <row r="19" spans="1:10" x14ac:dyDescent="0.3">
      <c r="A19" s="2"/>
      <c r="B19" s="3"/>
      <c r="C19" s="2"/>
      <c r="D19" s="2"/>
      <c r="E19" s="2"/>
      <c r="F19" s="2"/>
      <c r="G19" s="2"/>
      <c r="H19" s="2"/>
      <c r="I19" s="2"/>
      <c r="J19" s="2"/>
    </row>
    <row r="20" spans="1:10" x14ac:dyDescent="0.3">
      <c r="A20" s="2"/>
      <c r="B20" s="3"/>
      <c r="C20" s="2"/>
      <c r="D20" s="2"/>
      <c r="E20" s="2"/>
      <c r="F20" s="2"/>
      <c r="G20" s="2"/>
      <c r="H20" s="2"/>
      <c r="I20" s="2"/>
      <c r="J20" s="2"/>
    </row>
    <row r="21" spans="1:10" x14ac:dyDescent="0.3">
      <c r="A21" s="2"/>
      <c r="B21" s="3"/>
      <c r="C21" s="2"/>
      <c r="D21" s="2"/>
      <c r="E21" s="2"/>
      <c r="F21" s="2"/>
      <c r="G21" s="2"/>
      <c r="H21" s="2"/>
      <c r="I21" s="2"/>
      <c r="J21" s="2"/>
    </row>
  </sheetData>
  <mergeCells count="1">
    <mergeCell ref="A1:F1"/>
  </mergeCells>
  <conditionalFormatting sqref="A4:B9">
    <cfRule type="expression" dxfId="4" priority="8">
      <formula>" =MOD(ROW ();2)=1"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56562-B2F9-43EA-B6A2-82BAAFD578EE}">
  <dimension ref="A1:G13"/>
  <sheetViews>
    <sheetView tabSelected="1" workbookViewId="0">
      <selection activeCell="C8" sqref="C8"/>
    </sheetView>
  </sheetViews>
  <sheetFormatPr defaultRowHeight="14.4" x14ac:dyDescent="0.3"/>
  <cols>
    <col min="1" max="1" width="19.77734375" bestFit="1" customWidth="1"/>
    <col min="2" max="3" width="14.6640625" bestFit="1" customWidth="1"/>
    <col min="4" max="4" width="15.21875" bestFit="1" customWidth="1"/>
  </cols>
  <sheetData>
    <row r="1" spans="1:7" ht="17.399999999999999" x14ac:dyDescent="0.3">
      <c r="A1" s="22" t="s">
        <v>43</v>
      </c>
      <c r="B1" s="22"/>
      <c r="C1" s="22"/>
      <c r="D1" s="22"/>
      <c r="E1" s="22"/>
    </row>
    <row r="2" spans="1:7" x14ac:dyDescent="0.3">
      <c r="A2" s="2"/>
      <c r="B2" s="2"/>
      <c r="C2" s="2"/>
      <c r="D2" s="2"/>
      <c r="E2" s="2"/>
    </row>
    <row r="3" spans="1:7" x14ac:dyDescent="0.3">
      <c r="A3" s="5" t="s">
        <v>44</v>
      </c>
      <c r="B3" s="5" t="s">
        <v>45</v>
      </c>
      <c r="C3" s="5" t="s">
        <v>46</v>
      </c>
      <c r="D3" s="5" t="s">
        <v>47</v>
      </c>
      <c r="E3" s="2"/>
    </row>
    <row r="4" spans="1:7" x14ac:dyDescent="0.3">
      <c r="A4" s="7" t="s">
        <v>48</v>
      </c>
      <c r="B4" s="10">
        <v>1200000</v>
      </c>
      <c r="C4" s="10">
        <f>Resumen!B4</f>
        <v>1363000</v>
      </c>
      <c r="D4" s="7" t="str">
        <f>IF(C4&gt;=B4, "Meta Cumplida", "Por Debajo")</f>
        <v>Meta Cumplida</v>
      </c>
      <c r="E4" s="2"/>
    </row>
    <row r="5" spans="1:7" x14ac:dyDescent="0.3">
      <c r="A5" s="7" t="s">
        <v>49</v>
      </c>
      <c r="B5" s="10">
        <v>300000</v>
      </c>
      <c r="C5" s="10">
        <f>Resumen!B5</f>
        <v>249000</v>
      </c>
      <c r="D5" s="7" t="str">
        <f>IF(C5&lt;=B5,"Bajo Presupuesto", "Sobre Presupuesto")</f>
        <v>Bajo Presupuesto</v>
      </c>
      <c r="E5" s="2"/>
      <c r="G5" s="6"/>
    </row>
    <row r="6" spans="1:7" x14ac:dyDescent="0.3">
      <c r="A6" s="7" t="s">
        <v>38</v>
      </c>
      <c r="B6" s="10">
        <v>900000</v>
      </c>
      <c r="C6" s="10">
        <f>Resumen!B6</f>
        <v>1114000</v>
      </c>
      <c r="D6" s="7" t="str">
        <f>IF(C6&gt;=B6,"Meta Cumplida", "Por Debajo")</f>
        <v>Meta Cumplida</v>
      </c>
      <c r="E6" s="2"/>
    </row>
    <row r="7" spans="1:7" x14ac:dyDescent="0.3">
      <c r="A7" s="7" t="s">
        <v>50</v>
      </c>
      <c r="B7" s="8">
        <v>0.7</v>
      </c>
      <c r="C7" s="9">
        <f>Resumen!B6/Resumen!B4</f>
        <v>0.81731474688187822</v>
      </c>
      <c r="D7" s="7" t="str">
        <f>IF(C7&gt;=B7,"Meta Cumplida", "Por Debajo")</f>
        <v>Meta Cumplida</v>
      </c>
      <c r="E7" s="2"/>
    </row>
    <row r="8" spans="1:7" x14ac:dyDescent="0.3">
      <c r="A8" s="7" t="s">
        <v>51</v>
      </c>
      <c r="B8" s="7">
        <v>30</v>
      </c>
      <c r="C8" s="7">
        <f>Resumen!B7</f>
        <v>24</v>
      </c>
      <c r="D8" s="7" t="str">
        <f>IF(C8&gt;=B8, "Meta Cumplida", "Por Debajo")</f>
        <v>Por Debajo</v>
      </c>
      <c r="E8" s="2"/>
    </row>
    <row r="9" spans="1:7" x14ac:dyDescent="0.3">
      <c r="A9" s="2"/>
      <c r="B9" s="2"/>
      <c r="C9" s="2"/>
      <c r="D9" s="2"/>
      <c r="E9" s="2"/>
    </row>
    <row r="10" spans="1:7" x14ac:dyDescent="0.3">
      <c r="A10" s="2"/>
      <c r="B10" s="2"/>
      <c r="C10" s="2"/>
      <c r="D10" s="2"/>
      <c r="E10" s="2"/>
    </row>
    <row r="11" spans="1:7" x14ac:dyDescent="0.3">
      <c r="A11" s="2"/>
      <c r="B11" s="3">
        <f>+C4-B4</f>
        <v>163000</v>
      </c>
      <c r="C11" s="2"/>
      <c r="D11" s="2"/>
      <c r="E11" s="2"/>
    </row>
    <row r="13" spans="1:7" x14ac:dyDescent="0.3">
      <c r="A13" s="20" t="s">
        <v>59</v>
      </c>
    </row>
  </sheetData>
  <mergeCells count="1">
    <mergeCell ref="A1:E1"/>
  </mergeCells>
  <conditionalFormatting sqref="D4:D8">
    <cfRule type="containsText" dxfId="3" priority="2" operator="containsText" text="Por Debajo">
      <formula>NOT(ISERROR(SEARCH("Por Debajo",D4)))</formula>
    </cfRule>
    <cfRule type="containsText" dxfId="2" priority="3" operator="containsText" text="Por Debajo ">
      <formula>NOT(ISERROR(SEARCH("Por Debajo ",D4)))</formula>
    </cfRule>
    <cfRule type="containsText" dxfId="1" priority="4" operator="containsText" text="Meta Cumplida">
      <formula>NOT(ISERROR(SEARCH("Meta Cumplida",D4)))</formula>
    </cfRule>
  </conditionalFormatting>
  <conditionalFormatting sqref="D12">
    <cfRule type="containsText" dxfId="0" priority="1" operator="containsText" text="Meta Cumplida">
      <formula>NOT(ISERROR(SEARCH("Meta Cumplida",D12)))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ECBCD-B4CD-4958-9788-8C27C00D25C1}">
  <dimension ref="A1:C11"/>
  <sheetViews>
    <sheetView workbookViewId="0">
      <selection activeCell="F4" sqref="F4"/>
    </sheetView>
  </sheetViews>
  <sheetFormatPr defaultRowHeight="14.4" outlineLevelCol="1" x14ac:dyDescent="0.3"/>
  <cols>
    <col min="1" max="1" width="15.21875" bestFit="1" customWidth="1" outlineLevel="1"/>
    <col min="2" max="2" width="13.33203125" customWidth="1" outlineLevel="1"/>
    <col min="3" max="3" width="8.88671875" customWidth="1" outlineLevel="1"/>
  </cols>
  <sheetData>
    <row r="1" spans="1:2" x14ac:dyDescent="0.3">
      <c r="A1" s="11" t="s">
        <v>5</v>
      </c>
      <c r="B1" t="s">
        <v>54</v>
      </c>
    </row>
    <row r="3" spans="1:2" x14ac:dyDescent="0.3">
      <c r="A3" s="11" t="s">
        <v>52</v>
      </c>
      <c r="B3" t="s">
        <v>55</v>
      </c>
    </row>
    <row r="4" spans="1:2" x14ac:dyDescent="0.3">
      <c r="A4" s="12" t="s">
        <v>7</v>
      </c>
      <c r="B4" s="25">
        <v>1363000</v>
      </c>
    </row>
    <row r="5" spans="1:2" x14ac:dyDescent="0.3">
      <c r="A5" s="13" t="s">
        <v>8</v>
      </c>
      <c r="B5" s="25">
        <v>1245000</v>
      </c>
    </row>
    <row r="6" spans="1:2" x14ac:dyDescent="0.3">
      <c r="A6" s="13" t="s">
        <v>16</v>
      </c>
      <c r="B6" s="25">
        <v>118000</v>
      </c>
    </row>
    <row r="7" spans="1:2" x14ac:dyDescent="0.3">
      <c r="A7" s="12" t="s">
        <v>11</v>
      </c>
      <c r="B7" s="25">
        <v>249000</v>
      </c>
    </row>
    <row r="8" spans="1:2" x14ac:dyDescent="0.3">
      <c r="A8" s="13" t="s">
        <v>12</v>
      </c>
      <c r="B8" s="25">
        <v>180000</v>
      </c>
    </row>
    <row r="9" spans="1:2" x14ac:dyDescent="0.3">
      <c r="A9" s="13" t="s">
        <v>18</v>
      </c>
      <c r="B9" s="25">
        <v>36000</v>
      </c>
    </row>
    <row r="10" spans="1:2" x14ac:dyDescent="0.3">
      <c r="A10" s="13" t="s">
        <v>22</v>
      </c>
      <c r="B10" s="25">
        <v>33000</v>
      </c>
    </row>
    <row r="11" spans="1:2" x14ac:dyDescent="0.3">
      <c r="A11" s="12" t="s">
        <v>53</v>
      </c>
      <c r="B11" s="25">
        <v>1612000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4AE6E-A883-4E19-AB05-DEA127ABC85E}">
  <dimension ref="A1:L20"/>
  <sheetViews>
    <sheetView zoomScaleNormal="100" workbookViewId="0">
      <selection activeCell="H19" sqref="H19"/>
    </sheetView>
  </sheetViews>
  <sheetFormatPr defaultRowHeight="14.4" x14ac:dyDescent="0.3"/>
  <sheetData>
    <row r="1" spans="1:12" ht="15.6" x14ac:dyDescent="0.3">
      <c r="A1" s="23" t="s">
        <v>56</v>
      </c>
      <c r="B1" s="23"/>
      <c r="C1" s="23"/>
      <c r="D1" s="23"/>
      <c r="E1" s="23"/>
      <c r="F1" s="2"/>
      <c r="G1" s="2"/>
      <c r="H1" s="2"/>
      <c r="I1" s="2"/>
      <c r="J1" s="2"/>
      <c r="K1" s="2"/>
      <c r="L1" s="2"/>
    </row>
    <row r="2" spans="1:12" x14ac:dyDescent="0.3">
      <c r="A2" s="2"/>
      <c r="B2" s="2"/>
      <c r="C2" s="2"/>
      <c r="D2" s="2"/>
      <c r="E2" s="2"/>
      <c r="F2" s="2"/>
      <c r="G2" s="2"/>
      <c r="H2" s="2"/>
      <c r="I2" s="2"/>
      <c r="J2" s="2"/>
      <c r="K2" s="2"/>
      <c r="L2" s="2"/>
    </row>
    <row r="3" spans="1:12" x14ac:dyDescent="0.3">
      <c r="A3" s="24" t="s">
        <v>57</v>
      </c>
      <c r="B3" s="24"/>
      <c r="C3" s="24"/>
      <c r="D3" s="24"/>
      <c r="E3" s="24"/>
      <c r="F3" s="24"/>
      <c r="G3" s="24"/>
      <c r="H3" s="2"/>
      <c r="I3" s="2"/>
      <c r="J3" s="2"/>
      <c r="K3" s="2"/>
      <c r="L3" s="2"/>
    </row>
    <row r="4" spans="1:12" x14ac:dyDescent="0.3">
      <c r="A4" s="2"/>
      <c r="B4" s="2"/>
      <c r="C4" s="2"/>
      <c r="D4" s="2"/>
      <c r="E4" s="2"/>
      <c r="F4" s="2"/>
      <c r="G4" s="2"/>
      <c r="H4" s="2"/>
      <c r="I4" s="2"/>
      <c r="J4" s="2"/>
      <c r="K4" s="2"/>
      <c r="L4" s="2"/>
    </row>
    <row r="5" spans="1:12" x14ac:dyDescent="0.3">
      <c r="A5" s="2"/>
      <c r="B5" s="2"/>
      <c r="C5" s="2"/>
      <c r="D5" s="2"/>
      <c r="E5" s="2"/>
      <c r="F5" s="2"/>
      <c r="G5" s="2"/>
      <c r="H5" s="2"/>
      <c r="I5" s="2"/>
      <c r="J5" s="2"/>
      <c r="K5" s="2"/>
      <c r="L5" s="2"/>
    </row>
    <row r="6" spans="1:12" x14ac:dyDescent="0.3">
      <c r="A6" s="2"/>
      <c r="B6" s="2"/>
      <c r="C6" s="2"/>
      <c r="D6" s="2"/>
      <c r="E6" s="2"/>
      <c r="F6" s="2"/>
      <c r="G6" s="2"/>
      <c r="H6" s="2"/>
      <c r="I6" s="2"/>
      <c r="J6" s="2"/>
      <c r="K6" s="2"/>
      <c r="L6" s="2"/>
    </row>
    <row r="7" spans="1:12" x14ac:dyDescent="0.3">
      <c r="A7" s="2"/>
      <c r="B7" s="2"/>
      <c r="C7" s="2"/>
      <c r="D7" s="2"/>
      <c r="E7" s="2"/>
      <c r="F7" s="2"/>
      <c r="G7" s="2"/>
      <c r="H7" s="2"/>
      <c r="I7" s="2"/>
      <c r="J7" s="2"/>
      <c r="K7" s="2"/>
      <c r="L7" s="2"/>
    </row>
    <row r="8" spans="1:12" x14ac:dyDescent="0.3">
      <c r="A8" s="2"/>
      <c r="B8" s="2"/>
      <c r="C8" s="2"/>
      <c r="D8" s="2"/>
      <c r="E8" s="2"/>
      <c r="F8" s="2"/>
      <c r="G8" s="2"/>
      <c r="H8" s="2"/>
      <c r="I8" s="2"/>
      <c r="J8" s="2"/>
      <c r="K8" s="2"/>
      <c r="L8" s="2"/>
    </row>
    <row r="9" spans="1:12" x14ac:dyDescent="0.3">
      <c r="A9" s="2"/>
      <c r="B9" s="2"/>
      <c r="C9" s="2"/>
      <c r="D9" s="2"/>
      <c r="E9" s="2"/>
      <c r="F9" s="2"/>
      <c r="G9" s="2"/>
      <c r="H9" s="2"/>
      <c r="I9" s="2"/>
      <c r="J9" s="2"/>
      <c r="K9" s="2"/>
      <c r="L9" s="2"/>
    </row>
    <row r="10" spans="1:12" x14ac:dyDescent="0.3">
      <c r="A10" s="2"/>
      <c r="B10" s="2"/>
      <c r="C10" s="2"/>
      <c r="D10" s="2"/>
      <c r="E10" s="2"/>
      <c r="F10" s="2"/>
      <c r="G10" s="2"/>
      <c r="H10" s="2"/>
      <c r="I10" s="2"/>
      <c r="J10" s="2"/>
      <c r="K10" s="2"/>
      <c r="L10" s="2"/>
    </row>
    <row r="11" spans="1:12" x14ac:dyDescent="0.3">
      <c r="A11" s="2"/>
      <c r="B11" s="2"/>
      <c r="C11" s="2"/>
      <c r="D11" s="2"/>
      <c r="E11" s="2"/>
      <c r="F11" s="2"/>
      <c r="G11" s="2"/>
      <c r="H11" s="2"/>
      <c r="I11" s="2"/>
      <c r="J11" s="2"/>
      <c r="K11" s="2"/>
      <c r="L11" s="2"/>
    </row>
    <row r="12" spans="1:12" x14ac:dyDescent="0.3">
      <c r="A12" s="2"/>
      <c r="B12" s="2"/>
      <c r="C12" s="2"/>
      <c r="D12" s="2"/>
      <c r="E12" s="2"/>
      <c r="F12" s="2"/>
      <c r="G12" s="2"/>
      <c r="H12" s="2"/>
      <c r="I12" s="2"/>
      <c r="J12" s="2"/>
      <c r="K12" s="2"/>
      <c r="L12" s="2"/>
    </row>
    <row r="13" spans="1:12" x14ac:dyDescent="0.3">
      <c r="A13" s="2"/>
      <c r="B13" s="2"/>
      <c r="C13" s="2"/>
      <c r="D13" s="2"/>
      <c r="E13" s="2"/>
      <c r="F13" s="2"/>
      <c r="G13" s="2"/>
      <c r="H13" s="2"/>
      <c r="I13" s="2"/>
      <c r="J13" s="2"/>
      <c r="K13" s="2"/>
      <c r="L13" s="2"/>
    </row>
    <row r="14" spans="1:12" x14ac:dyDescent="0.3">
      <c r="A14" s="2"/>
      <c r="B14" s="2"/>
      <c r="C14" s="2"/>
      <c r="D14" s="2"/>
      <c r="E14" s="2"/>
      <c r="F14" s="2"/>
      <c r="G14" s="2"/>
      <c r="H14" s="2"/>
      <c r="I14" s="2"/>
      <c r="J14" s="2"/>
      <c r="K14" s="2"/>
      <c r="L14" s="2"/>
    </row>
    <row r="15" spans="1:12" x14ac:dyDescent="0.3">
      <c r="A15" s="2"/>
      <c r="B15" s="2"/>
      <c r="C15" s="2"/>
      <c r="D15" s="2"/>
      <c r="E15" s="2"/>
      <c r="F15" s="2"/>
      <c r="G15" s="2"/>
      <c r="H15" s="2"/>
      <c r="I15" s="2"/>
      <c r="J15" s="2"/>
      <c r="K15" s="2"/>
      <c r="L15" s="2"/>
    </row>
    <row r="16" spans="1:12" x14ac:dyDescent="0.3">
      <c r="A16" s="2"/>
      <c r="B16" s="2"/>
      <c r="C16" s="2"/>
      <c r="D16" s="2"/>
      <c r="E16" s="2"/>
      <c r="F16" s="2"/>
      <c r="G16" s="2"/>
      <c r="H16" s="2"/>
      <c r="I16" s="2"/>
      <c r="J16" s="2"/>
      <c r="K16" s="2"/>
      <c r="L16" s="2"/>
    </row>
    <row r="17" spans="1:12" x14ac:dyDescent="0.3">
      <c r="A17" s="2"/>
      <c r="B17" s="2"/>
      <c r="C17" s="2"/>
      <c r="D17" s="2"/>
      <c r="E17" s="2"/>
      <c r="F17" s="2"/>
      <c r="G17" s="2"/>
      <c r="H17" s="2"/>
      <c r="I17" s="2"/>
      <c r="J17" s="2"/>
      <c r="K17" s="2"/>
      <c r="L17" s="2"/>
    </row>
    <row r="18" spans="1:12" x14ac:dyDescent="0.3">
      <c r="A18" s="2"/>
      <c r="B18" s="2"/>
      <c r="C18" s="2"/>
      <c r="D18" s="2"/>
      <c r="E18" s="2"/>
      <c r="F18" s="2"/>
      <c r="G18" s="2"/>
      <c r="H18" s="2"/>
      <c r="I18" s="2"/>
      <c r="J18" s="2"/>
      <c r="K18" s="2"/>
      <c r="L18" s="2"/>
    </row>
    <row r="19" spans="1:12" x14ac:dyDescent="0.3">
      <c r="A19" s="2"/>
      <c r="B19" s="2"/>
      <c r="C19" s="2"/>
      <c r="D19" s="2"/>
      <c r="E19" s="2"/>
      <c r="F19" s="2"/>
      <c r="G19" s="2"/>
      <c r="H19" s="2"/>
      <c r="I19" s="2"/>
      <c r="J19" s="2"/>
      <c r="K19" s="2"/>
      <c r="L19" s="2"/>
    </row>
    <row r="20" spans="1:12" x14ac:dyDescent="0.3">
      <c r="A20" s="2"/>
      <c r="B20" s="2"/>
      <c r="C20" s="2"/>
      <c r="D20" s="2"/>
      <c r="E20" s="2"/>
      <c r="F20" s="2"/>
      <c r="G20" s="2"/>
      <c r="H20" s="2"/>
      <c r="I20" s="2"/>
      <c r="J20" s="2"/>
      <c r="K20" s="2"/>
      <c r="L20" s="2"/>
    </row>
  </sheetData>
  <mergeCells count="2">
    <mergeCell ref="A1:E1"/>
    <mergeCell ref="A3:G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FormatoSistema">
                <anchor moveWithCells="1" sizeWithCells="1">
                  <from>
                    <xdr:col>7</xdr:col>
                    <xdr:colOff>297180</xdr:colOff>
                    <xdr:row>6</xdr:row>
                    <xdr:rowOff>38100</xdr:rowOff>
                  </from>
                  <to>
                    <xdr:col>8</xdr:col>
                    <xdr:colOff>350520</xdr:colOff>
                    <xdr:row>9</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Datos</vt:lpstr>
      <vt:lpstr>Resumen</vt:lpstr>
      <vt:lpstr>KPIS</vt:lpstr>
      <vt:lpstr>Dashboard</vt:lpstr>
      <vt:lpstr>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Villar</dc:creator>
  <cp:lastModifiedBy>Edwin Villar</cp:lastModifiedBy>
  <cp:lastPrinted>2026-06-25T01:09:01Z</cp:lastPrinted>
  <dcterms:created xsi:type="dcterms:W3CDTF">2026-06-24T16:18:04Z</dcterms:created>
  <dcterms:modified xsi:type="dcterms:W3CDTF">2026-06-25T15:53:24Z</dcterms:modified>
</cp:coreProperties>
</file>