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FB547300-1A99-4267-B51D-BC78E4A148E2}" xr6:coauthVersionLast="47" xr6:coauthVersionMax="47" xr10:uidLastSave="{35C64FE0-212F-4535-B0BC-A3FEE5461ED5}"/>
  <bookViews>
    <workbookView xWindow="-228" yWindow="60" windowWidth="12372" windowHeight="12240" firstSheet="2" activeTab="3" xr2:uid="{883F9539-9DFD-497E-89C9-10F7DC2A5AA9}"/>
  </bookViews>
  <sheets>
    <sheet name="Validacion de Datos" sheetId="2" r:id="rId1"/>
    <sheet name="Solicitudes" sheetId="1" r:id="rId2"/>
    <sheet name="Listas" sheetId="3" r:id="rId3"/>
    <sheet name="REGISTRO DE EMPLE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4" l="1"/>
  <c r="I13" i="4"/>
  <c r="I14" i="4"/>
  <c r="I15" i="4"/>
  <c r="I16" i="4"/>
</calcChain>
</file>

<file path=xl/sharedStrings.xml><?xml version="1.0" encoding="utf-8"?>
<sst xmlns="http://schemas.openxmlformats.org/spreadsheetml/2006/main" count="156" uniqueCount="87">
  <si>
    <t>📋 Proyecto: Sistema de Solicitudes de Vacaciones</t>
  </si>
  <si>
    <t>Una empresa necesita un formulario en Excel donde los empleados registren sus solicitudes de vacaciones — con reglas estrictas para evitar errores de entrada.</t>
  </si>
  <si>
    <t>🎯 Lo que practicarás:</t>
  </si>
  <si>
    <t>Listas desplegables</t>
  </si>
  <si>
    <t>Restricciones de fechas</t>
  </si>
  <si>
    <t>Validación de números (días permitidos)</t>
  </si>
  <si>
    <t>Mensajes de entrada y alertas de error</t>
  </si>
  <si>
    <t>Listas dependientes (Departamento → Supervisor)</t>
  </si>
  <si>
    <t>📁 Estructura del archivo — 2 hojas:</t>
  </si>
  <si>
    <r>
      <t xml:space="preserve">Hoja 1: </t>
    </r>
    <r>
      <rPr>
        <b/>
        <sz val="10"/>
        <color theme="1"/>
        <rFont val="Arial Unicode MS"/>
      </rPr>
      <t>Solicitudes</t>
    </r>
    <r>
      <rPr>
        <sz val="11"/>
        <color theme="1"/>
        <rFont val="Calibri"/>
        <family val="2"/>
        <scheme val="minor"/>
      </rPr>
      <t xml:space="preserve"> — el formulario principal</t>
    </r>
  </si>
  <si>
    <t>Campo</t>
  </si>
  <si>
    <t>Tipo de Validación</t>
  </si>
  <si>
    <t>Empleado</t>
  </si>
  <si>
    <t>Lista desplegable</t>
  </si>
  <si>
    <t>Departamento</t>
  </si>
  <si>
    <t>Supervisor</t>
  </si>
  <si>
    <t>Lista dependiente del depto.</t>
  </si>
  <si>
    <t>Fecha Inicio</t>
  </si>
  <si>
    <t>Solo fechas futuras</t>
  </si>
  <si>
    <t>Fecha Fin</t>
  </si>
  <si>
    <t>Mayor que Fecha Inicio</t>
  </si>
  <si>
    <t>Días Solicitados</t>
  </si>
  <si>
    <t>Entre 1 y 30</t>
  </si>
  <si>
    <t>Tipo de Permiso</t>
  </si>
  <si>
    <t>Lista: Vacaciones / Médico / Personal</t>
  </si>
  <si>
    <t>Estado</t>
  </si>
  <si>
    <t>Lista: Pendiente / Aprobado / Rechazado</t>
  </si>
  <si>
    <r>
      <t xml:space="preserve">Hoja 2: </t>
    </r>
    <r>
      <rPr>
        <b/>
        <sz val="10"/>
        <color theme="1"/>
        <rFont val="Arial Unicode MS"/>
      </rPr>
      <t>Listas</t>
    </r>
    <r>
      <rPr>
        <sz val="11"/>
        <color theme="1"/>
        <rFont val="Calibri"/>
        <family val="2"/>
        <scheme val="minor"/>
      </rPr>
      <t xml:space="preserve"> — los datos de referencia</t>
    </r>
  </si>
  <si>
    <t>¿Cómo lo haremos?</t>
  </si>
  <si>
    <t>Paso a paso — yo te explico cada validación, tú la aplicas, y al final tendrás un archivo 100% funcional y profesiona</t>
  </si>
  <si>
    <t>Empleados</t>
  </si>
  <si>
    <t>Ana Garcia</t>
  </si>
  <si>
    <t>Carlos Lopez</t>
  </si>
  <si>
    <t>Maria Perez</t>
  </si>
  <si>
    <t>Juan Martinez</t>
  </si>
  <si>
    <t>Laura Rodriguez</t>
  </si>
  <si>
    <t xml:space="preserve">Departamentos </t>
  </si>
  <si>
    <t>Ventas</t>
  </si>
  <si>
    <t>RRHH</t>
  </si>
  <si>
    <t xml:space="preserve">Finanzas </t>
  </si>
  <si>
    <t>TI</t>
  </si>
  <si>
    <t>Tipo_Permiso</t>
  </si>
  <si>
    <t>Vacaciones</t>
  </si>
  <si>
    <t>Medico</t>
  </si>
  <si>
    <t>Personal</t>
  </si>
  <si>
    <t>Pendiente</t>
  </si>
  <si>
    <t>Aprobado</t>
  </si>
  <si>
    <t>Rechazado</t>
  </si>
  <si>
    <t>A</t>
  </si>
  <si>
    <t>B</t>
  </si>
  <si>
    <t>C</t>
  </si>
  <si>
    <t>D</t>
  </si>
  <si>
    <t>E</t>
  </si>
  <si>
    <t>F</t>
  </si>
  <si>
    <t>G</t>
  </si>
  <si>
    <t>H</t>
  </si>
  <si>
    <t xml:space="preserve">Supervisor </t>
  </si>
  <si>
    <t>Dias Solicitudes</t>
  </si>
  <si>
    <t>Tipo Permiso</t>
  </si>
  <si>
    <t>Sistema de Registro de Empleados con Validación de Datos</t>
  </si>
  <si>
    <t>ID Empleado</t>
  </si>
  <si>
    <t>Nombre Completo</t>
  </si>
  <si>
    <t>Cargo</t>
  </si>
  <si>
    <t>Fecha Ingreso</t>
  </si>
  <si>
    <t xml:space="preserve">Salario </t>
  </si>
  <si>
    <t>Correo</t>
  </si>
  <si>
    <t xml:space="preserve">Antiguedad </t>
  </si>
  <si>
    <t>Juan Perez</t>
  </si>
  <si>
    <t>Analista</t>
  </si>
  <si>
    <t>Activo</t>
  </si>
  <si>
    <t>Juan@email.com</t>
  </si>
  <si>
    <t>Maria Lopez</t>
  </si>
  <si>
    <t>Tecnico</t>
  </si>
  <si>
    <t>maria@email.com</t>
  </si>
  <si>
    <t>Carlos Ruiz</t>
  </si>
  <si>
    <t>Cordinador</t>
  </si>
  <si>
    <t>carlos@email.com</t>
  </si>
  <si>
    <t xml:space="preserve">Ana Garcia </t>
  </si>
  <si>
    <t>Contabilidad</t>
  </si>
  <si>
    <t>Ana@email.com</t>
  </si>
  <si>
    <t xml:space="preserve">Pedro Santos </t>
  </si>
  <si>
    <t>Operaciones</t>
  </si>
  <si>
    <t>Inactivo</t>
  </si>
  <si>
    <t>Pedro@email.com</t>
  </si>
  <si>
    <t>Juan perez</t>
  </si>
  <si>
    <t>juan@email.com</t>
  </si>
  <si>
    <t>pedro@email.com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</si>
</sst>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/yyyy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1" fillId="3" borderId="1" xfId="0" applyFont="1" applyFill="1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7" fillId="4" borderId="1" xfId="0" applyFont="1" applyFill="1" applyBorder="1"/>
    <xf numFmtId="165" fontId="7" fillId="4" borderId="1" xfId="0" applyNumberFormat="1" applyFont="1" applyFill="1" applyBorder="1"/>
    <xf numFmtId="0" fontId="1" fillId="0" borderId="1" xfId="0" applyFont="1" applyBorder="1" applyAlignment="1">
      <alignment horizontal="left"/>
    </xf>
    <xf numFmtId="165" fontId="0" fillId="0" borderId="1" xfId="0" applyNumberFormat="1" applyBorder="1"/>
    <xf numFmtId="1" fontId="0" fillId="0" borderId="1" xfId="0" applyNumberFormat="1" applyBorder="1"/>
    <xf numFmtId="0" fontId="6" fillId="0" borderId="1" xfId="1" applyBorder="1"/>
    <xf numFmtId="0" fontId="7" fillId="4" borderId="2" xfId="0" applyFont="1" applyFill="1" applyBorder="1"/>
    <xf numFmtId="165" fontId="7" fillId="4" borderId="2" xfId="0" applyNumberFormat="1" applyFont="1" applyFill="1" applyBorder="1"/>
    <xf numFmtId="1" fontId="0" fillId="0" borderId="1" xfId="0" applyNumberFormat="1" applyBorder="1" applyAlignment="1">
      <alignment horizontal="center"/>
    </xf>
    <xf numFmtId="0" fontId="1" fillId="0" borderId="2" xfId="0" applyFont="1" applyBorder="1"/>
  </cellXfs>
  <cellStyles count="2">
    <cellStyle name="Hyperlink" xfId="1" builtinId="8"/>
    <cellStyle name="Normal" xfId="0" builtinId="0"/>
  </cellStyles>
  <dxfs count="3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right style="thin">
          <color indexed="64"/>
        </right>
      </border>
    </dxf>
    <dxf>
      <fill>
        <patternFill>
          <bgColor rgb="FFFFFF00"/>
        </patternFill>
      </fill>
    </dxf>
    <dxf>
      <numFmt numFmtId="165" formatCode="dd/mm/yyyy;@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30F113-D9E5-4FD7-A84F-63DBE295B119}" name="Table3" displayName="Table3" ref="A2:H9" totalsRowShown="0" headerRowDxfId="8" headerRowBorderDxfId="9" tableBorderDxfId="10">
  <autoFilter ref="A2:H9" xr:uid="{C030F113-D9E5-4FD7-A84F-63DBE295B119}"/>
  <tableColumns count="8">
    <tableColumn id="1" xr3:uid="{6C9F2CB8-8B28-4E2C-83B1-7646D6E838C4}" name="A" dataDxfId="7"/>
    <tableColumn id="2" xr3:uid="{07BB4018-FD83-4CBF-9FE3-D8CDFCF4645B}" name="B" dataDxfId="6"/>
    <tableColumn id="3" xr3:uid="{3EE5F18B-9F7A-4C97-92A3-22866BBB6E92}" name="C" dataDxfId="5"/>
    <tableColumn id="4" xr3:uid="{10FD7760-29F3-4072-8558-EBDBBDDB709C}" name="D" dataDxfId="4"/>
    <tableColumn id="5" xr3:uid="{CA853978-61FD-488B-963A-14CF5FFC56B8}" name="E" dataDxfId="3"/>
    <tableColumn id="6" xr3:uid="{0754F077-6282-4755-B366-88AFCE24930C}" name="F" dataDxfId="2"/>
    <tableColumn id="7" xr3:uid="{F505FFBC-47ED-4536-9CEE-984DA1778A0F}" name="G" dataDxfId="1"/>
    <tableColumn id="8" xr3:uid="{73FA60BE-F848-4C18-9349-6E2EB26AA3AA}" name="H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B7C23-D758-4187-BCD1-55433897CADB}" name="Table1" displayName="Table1" ref="B11:B16" totalsRowShown="0" headerRowDxfId="34" headerRowBorderDxfId="35" tableBorderDxfId="36">
  <autoFilter ref="B11:B16" xr:uid="{F6BB7C23-D758-4187-BCD1-55433897CADB}"/>
  <tableColumns count="1">
    <tableColumn id="1" xr3:uid="{237419C7-2281-410A-85EA-6B2967BA76F4}" name="Nombre Completo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031E7-D769-436F-855B-480333348AC7}" name="Table2" displayName="Table2" ref="C11:I16" totalsRowShown="0" headerRowDxfId="31" headerRowBorderDxfId="32" tableBorderDxfId="33">
  <autoFilter ref="C11:I16" xr:uid="{0C0031E7-D769-436F-855B-480333348AC7}"/>
  <tableColumns count="7">
    <tableColumn id="1" xr3:uid="{D0BD8391-6506-4195-A9A2-3E45890D1AF2}" name="Departamento" dataDxfId="29"/>
    <tableColumn id="2" xr3:uid="{8E5B977E-07F2-4E7B-BBD3-A1FA6098395B}" name="Cargo"/>
    <tableColumn id="3" xr3:uid="{90175584-126B-40BA-AB42-AEAE81FC4BD0}" name="Estado"/>
    <tableColumn id="4" xr3:uid="{F28E8591-9A7D-4C72-9616-D8746C34DD05}" name="Fecha Ingreso" dataDxfId="28"/>
    <tableColumn id="5" xr3:uid="{B0FBA67D-CD8D-41D3-A24C-A502E9D451A6}" name="Salario "/>
    <tableColumn id="6" xr3:uid="{BCB61B60-8B33-4E49-B60C-782BCD0EEAF0}" name="Correo" dataDxfId="26" dataCellStyle="Hyperlink"/>
    <tableColumn id="7" xr3:uid="{DB58D64E-E4E8-4007-9929-C959F6875FE7}" name="Antiguedad " dataDxfId="25">
      <calculatedColumnFormula>YEAR(TODAY())-YEAR(F12)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@email.com" TargetMode="External"/><Relationship Id="rId3" Type="http://schemas.openxmlformats.org/officeDocument/2006/relationships/hyperlink" Target="mailto:carlos@email.com" TargetMode="External"/><Relationship Id="rId7" Type="http://schemas.openxmlformats.org/officeDocument/2006/relationships/hyperlink" Target="mailto:maria@email.com" TargetMode="External"/><Relationship Id="rId12" Type="http://schemas.openxmlformats.org/officeDocument/2006/relationships/table" Target="../tables/table3.xml"/><Relationship Id="rId2" Type="http://schemas.openxmlformats.org/officeDocument/2006/relationships/hyperlink" Target="mailto:maria@email.com" TargetMode="External"/><Relationship Id="rId1" Type="http://schemas.openxmlformats.org/officeDocument/2006/relationships/hyperlink" Target="mailto:Juan@email.com" TargetMode="External"/><Relationship Id="rId6" Type="http://schemas.openxmlformats.org/officeDocument/2006/relationships/hyperlink" Target="mailto:juan@email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Pedro@email.com" TargetMode="External"/><Relationship Id="rId10" Type="http://schemas.openxmlformats.org/officeDocument/2006/relationships/hyperlink" Target="mailto:pedro@email.com" TargetMode="External"/><Relationship Id="rId4" Type="http://schemas.openxmlformats.org/officeDocument/2006/relationships/hyperlink" Target="mailto:Ana@email.com" TargetMode="External"/><Relationship Id="rId9" Type="http://schemas.openxmlformats.org/officeDocument/2006/relationships/hyperlink" Target="mailto:An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7529-4DDC-409E-A9DE-D7EE33D058B7}">
  <dimension ref="A1:N37"/>
  <sheetViews>
    <sheetView topLeftCell="A19" workbookViewId="0">
      <selection activeCell="A17" sqref="A17:C17"/>
    </sheetView>
  </sheetViews>
  <sheetFormatPr defaultRowHeight="14.4"/>
  <cols>
    <col min="1" max="1" width="40.21875" customWidth="1"/>
    <col min="2" max="2" width="21.77734375" customWidth="1"/>
  </cols>
  <sheetData>
    <row r="1" spans="1:14" ht="18">
      <c r="A1" s="17" t="s">
        <v>0</v>
      </c>
      <c r="B1" s="17"/>
      <c r="C1" s="17"/>
      <c r="D1" s="17"/>
      <c r="E1" s="17"/>
    </row>
    <row r="3" spans="1:14" ht="14.4" customHeight="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7" spans="1:14" ht="15.6">
      <c r="A7" s="2" t="s">
        <v>2</v>
      </c>
    </row>
    <row r="8" spans="1:14">
      <c r="A8" s="3"/>
    </row>
    <row r="9" spans="1:14">
      <c r="A9" s="18" t="s">
        <v>3</v>
      </c>
      <c r="B9" s="18"/>
      <c r="C9" s="18"/>
    </row>
    <row r="10" spans="1:14">
      <c r="A10" s="18" t="s">
        <v>4</v>
      </c>
      <c r="B10" s="18"/>
    </row>
    <row r="11" spans="1:14">
      <c r="A11" s="18" t="s">
        <v>5</v>
      </c>
      <c r="B11" s="18"/>
      <c r="C11" s="18"/>
    </row>
    <row r="12" spans="1:14">
      <c r="A12" s="18" t="s">
        <v>6</v>
      </c>
      <c r="B12" s="18"/>
      <c r="C12" s="18"/>
    </row>
    <row r="13" spans="1:14">
      <c r="A13" s="18" t="s">
        <v>7</v>
      </c>
      <c r="B13" s="18"/>
      <c r="C13" s="18"/>
      <c r="D13" s="18"/>
    </row>
    <row r="17" spans="1:3" ht="15.6">
      <c r="A17" s="19" t="s">
        <v>8</v>
      </c>
      <c r="B17" s="19"/>
      <c r="C17" s="19"/>
    </row>
    <row r="19" spans="1:3">
      <c r="A19" s="20" t="s">
        <v>9</v>
      </c>
      <c r="B19" s="20"/>
      <c r="C19" s="20"/>
    </row>
    <row r="21" spans="1:3">
      <c r="A21" s="8" t="s">
        <v>10</v>
      </c>
      <c r="B21" s="5" t="s">
        <v>11</v>
      </c>
    </row>
    <row r="22" spans="1:3">
      <c r="A22" s="1" t="s">
        <v>12</v>
      </c>
      <c r="B22" s="6" t="s">
        <v>13</v>
      </c>
    </row>
    <row r="23" spans="1:3">
      <c r="A23" s="1" t="s">
        <v>14</v>
      </c>
      <c r="B23" s="6" t="s">
        <v>13</v>
      </c>
    </row>
    <row r="24" spans="1:3" ht="28.8">
      <c r="A24" s="1" t="s">
        <v>15</v>
      </c>
      <c r="B24" s="6" t="s">
        <v>16</v>
      </c>
    </row>
    <row r="25" spans="1:3">
      <c r="A25" s="1" t="s">
        <v>17</v>
      </c>
      <c r="B25" s="6" t="s">
        <v>18</v>
      </c>
    </row>
    <row r="26" spans="1:3">
      <c r="A26" s="1" t="s">
        <v>19</v>
      </c>
      <c r="B26" s="6" t="s">
        <v>20</v>
      </c>
    </row>
    <row r="27" spans="1:3">
      <c r="A27" s="1" t="s">
        <v>21</v>
      </c>
      <c r="B27" s="6" t="s">
        <v>22</v>
      </c>
    </row>
    <row r="28" spans="1:3" ht="28.8">
      <c r="A28" s="1" t="s">
        <v>23</v>
      </c>
      <c r="B28" s="6" t="s">
        <v>24</v>
      </c>
    </row>
    <row r="29" spans="1:3" ht="28.8">
      <c r="A29" s="6" t="s">
        <v>25</v>
      </c>
      <c r="B29" s="6" t="s">
        <v>26</v>
      </c>
    </row>
    <row r="31" spans="1:3">
      <c r="A31" s="4" t="s">
        <v>27</v>
      </c>
    </row>
    <row r="35" spans="1:1" ht="15.6">
      <c r="A35" s="2" t="s">
        <v>28</v>
      </c>
    </row>
    <row r="37" spans="1:1">
      <c r="A37" t="s">
        <v>29</v>
      </c>
    </row>
  </sheetData>
  <mergeCells count="9">
    <mergeCell ref="A13:D13"/>
    <mergeCell ref="A17:C17"/>
    <mergeCell ref="A19:C19"/>
    <mergeCell ref="A3:N3"/>
    <mergeCell ref="A1:E1"/>
    <mergeCell ref="A9:C9"/>
    <mergeCell ref="A10:B10"/>
    <mergeCell ref="A11:C11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E41E-3B81-4360-B5EF-FD28A6724E75}">
  <sheetPr>
    <tabColor rgb="FF00B0F0"/>
  </sheetPr>
  <dimension ref="A2:H9"/>
  <sheetViews>
    <sheetView zoomScaleNormal="100" workbookViewId="0">
      <selection activeCell="C15" sqref="C15"/>
    </sheetView>
  </sheetViews>
  <sheetFormatPr defaultRowHeight="14.4"/>
  <cols>
    <col min="1" max="1" width="12.33203125" bestFit="1" customWidth="1"/>
    <col min="2" max="2" width="12.88671875" bestFit="1" customWidth="1"/>
    <col min="3" max="3" width="9.88671875" bestFit="1" customWidth="1"/>
    <col min="5" max="5" width="8.77734375" bestFit="1" customWidth="1"/>
    <col min="6" max="6" width="10.44140625" customWidth="1"/>
    <col min="7" max="8" width="10.21875" bestFit="1" customWidth="1"/>
  </cols>
  <sheetData>
    <row r="2" spans="1:8">
      <c r="A2" s="34" t="s">
        <v>48</v>
      </c>
      <c r="B2" s="34" t="s">
        <v>49</v>
      </c>
      <c r="C2" s="34" t="s">
        <v>50</v>
      </c>
      <c r="D2" s="34" t="s">
        <v>51</v>
      </c>
      <c r="E2" s="34" t="s">
        <v>52</v>
      </c>
      <c r="F2" s="34" t="s">
        <v>53</v>
      </c>
      <c r="G2" s="34" t="s">
        <v>54</v>
      </c>
      <c r="H2" s="34" t="s">
        <v>55</v>
      </c>
    </row>
    <row r="3" spans="1:8" ht="29.4" customHeight="1">
      <c r="A3" s="11" t="s">
        <v>12</v>
      </c>
      <c r="B3" s="11" t="s">
        <v>14</v>
      </c>
      <c r="C3" s="11" t="s">
        <v>56</v>
      </c>
      <c r="D3" s="12" t="s">
        <v>17</v>
      </c>
      <c r="E3" s="11" t="s">
        <v>19</v>
      </c>
      <c r="F3" s="12" t="s">
        <v>57</v>
      </c>
      <c r="G3" s="12" t="s">
        <v>58</v>
      </c>
      <c r="H3" s="11" t="s">
        <v>25</v>
      </c>
    </row>
    <row r="4" spans="1:8">
      <c r="A4" s="10" t="s">
        <v>31</v>
      </c>
      <c r="B4" s="10" t="s">
        <v>37</v>
      </c>
      <c r="C4" s="10" t="s">
        <v>42</v>
      </c>
      <c r="D4" s="10"/>
      <c r="E4" s="10"/>
      <c r="F4" s="10"/>
      <c r="G4" s="10" t="s">
        <v>42</v>
      </c>
      <c r="H4" s="10" t="s">
        <v>42</v>
      </c>
    </row>
    <row r="5" spans="1:8">
      <c r="A5" s="10" t="s">
        <v>32</v>
      </c>
      <c r="B5" s="10" t="s">
        <v>38</v>
      </c>
      <c r="C5" s="10"/>
      <c r="D5" s="10"/>
      <c r="E5" s="10"/>
      <c r="F5" s="10"/>
      <c r="G5" s="10" t="s">
        <v>43</v>
      </c>
      <c r="H5" s="10" t="s">
        <v>44</v>
      </c>
    </row>
    <row r="6" spans="1:8">
      <c r="A6" s="10" t="s">
        <v>33</v>
      </c>
      <c r="B6" s="10" t="s">
        <v>39</v>
      </c>
      <c r="C6" s="10"/>
      <c r="D6" s="10"/>
      <c r="E6" s="10"/>
      <c r="F6" s="10"/>
      <c r="G6" s="10" t="s">
        <v>44</v>
      </c>
      <c r="H6" s="10" t="s">
        <v>43</v>
      </c>
    </row>
    <row r="7" spans="1:8">
      <c r="A7" s="10" t="s">
        <v>34</v>
      </c>
      <c r="B7" s="10" t="s">
        <v>40</v>
      </c>
      <c r="C7" s="10"/>
      <c r="D7" s="10"/>
      <c r="E7" s="10"/>
      <c r="F7" s="10"/>
      <c r="G7" s="10" t="s">
        <v>42</v>
      </c>
      <c r="H7" s="10" t="s">
        <v>44</v>
      </c>
    </row>
    <row r="8" spans="1:8">
      <c r="A8" s="10" t="s">
        <v>35</v>
      </c>
      <c r="B8" s="10" t="s">
        <v>39</v>
      </c>
      <c r="C8" s="10"/>
      <c r="D8" s="10"/>
      <c r="E8" s="10"/>
      <c r="F8" s="10"/>
      <c r="G8" s="10" t="s">
        <v>43</v>
      </c>
      <c r="H8" s="10" t="s">
        <v>43</v>
      </c>
    </row>
    <row r="9" spans="1:8">
      <c r="A9" s="10"/>
      <c r="B9" s="10"/>
      <c r="C9" s="10"/>
      <c r="D9" s="10"/>
      <c r="E9" s="10"/>
      <c r="F9" s="10"/>
      <c r="G9" s="10"/>
      <c r="H9" s="10"/>
    </row>
  </sheetData>
  <dataValidations count="6">
    <dataValidation type="date" operator="greaterThanOrEqual" allowBlank="1" showInputMessage="1" showErrorMessage="1" promptTitle="Fecha Inicio" prompt="Ingrese una fecha igual o mayor a hoy " sqref="D4" xr:uid="{14589E7B-E4FA-47A8-964B-BD49A1B816B5}">
      <formula1>TODAY()</formula1>
    </dataValidation>
    <dataValidation type="date" operator="greaterThan" allowBlank="1" showInputMessage="1" showErrorMessage="1" promptTitle="Fecha fin" prompt="Debe ser mayor que la Fecha de Inicio " sqref="E4" xr:uid="{D26A5BFD-E550-4EED-9215-D58E76E497D2}">
      <formula1>$D$4</formula1>
    </dataValidation>
    <dataValidation type="whole" allowBlank="1" showInputMessage="1" showErrorMessage="1" errorTitle="Valor invalido" error="Solo se permiten entre 1 y 30 dias " promptTitle="Dias Solicitados" prompt="Ingrese un numero entre 1 y 30 " sqref="F4" xr:uid="{85F7E6C5-D9D0-495B-9DD1-C7273106CC36}">
      <formula1>1</formula1>
      <formula2>30</formula2>
    </dataValidation>
    <dataValidation type="date" operator="greaterThanOrEqual" allowBlank="1" showInputMessage="1" showErrorMessage="1" sqref="D5:D7 D9:D14" xr:uid="{1005E564-76B5-464E-82AA-A3429FF7C3D6}">
      <formula1>TODAY()</formula1>
    </dataValidation>
    <dataValidation type="date" operator="greaterThan" allowBlank="1" showInputMessage="1" showErrorMessage="1" sqref="E5:E14" xr:uid="{877AAF29-3712-440D-9A11-0A12F5D09886}">
      <formula1>$D$5</formula1>
    </dataValidation>
    <dataValidation type="whole" allowBlank="1" showInputMessage="1" showErrorMessage="1" sqref="F5:F14" xr:uid="{785202C6-F9C9-4F2C-9121-8EC990BC6E6F}">
      <formula1>1</formula1>
      <formula2>30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Empleado" prompt="Seleccione el nombre del empleado" xr:uid="{B6D95E79-AE5A-4397-A9AE-32BEA6615613}">
          <x14:formula1>
            <xm:f>Listas!$A$3:$A$7</xm:f>
          </x14:formula1>
          <xm:sqref>A4</xm:sqref>
        </x14:dataValidation>
        <x14:dataValidation type="list" allowBlank="1" showInputMessage="1" showErrorMessage="1" xr:uid="{A6CF56D9-1C71-4E70-9BBF-2D34251A4061}">
          <x14:formula1>
            <xm:f>Listas!$B$3:$B$6</xm:f>
          </x14:formula1>
          <xm:sqref>B4 B6:B14</xm:sqref>
        </x14:dataValidation>
        <x14:dataValidation type="list" allowBlank="1" showInputMessage="1" showErrorMessage="1" xr:uid="{A3A5A241-8A8D-4C95-A9A3-5632EFD107CE}">
          <x14:formula1>
            <xm:f>Listas!$C$3:$C$5</xm:f>
          </x14:formula1>
          <xm:sqref>C4 G4:H14</xm:sqref>
        </x14:dataValidation>
        <x14:dataValidation type="list" allowBlank="1" showInputMessage="1" showErrorMessage="1" xr:uid="{1E4B3CD7-EF0F-4F4F-8815-28B9E36DC34F}">
          <x14:formula1>
            <xm:f>Listas!$A$3:$A$7</xm:f>
          </x14:formula1>
          <xm:sqref>A5:A13</xm:sqref>
        </x14:dataValidation>
        <x14:dataValidation type="list" allowBlank="1" showInputMessage="1" showErrorMessage="1" xr:uid="{7AE6EBBB-D056-41AE-889B-DF209490D454}">
          <x14:formula1>
            <xm:f>Listas!$B$2:$B$5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04CA-A8AA-4E6E-9F3E-B57F459CF6E8}">
  <sheetPr>
    <tabColor theme="4" tint="-0.499984740745262"/>
  </sheetPr>
  <dimension ref="A1:D23"/>
  <sheetViews>
    <sheetView workbookViewId="0">
      <selection activeCell="D5" sqref="D5"/>
    </sheetView>
  </sheetViews>
  <sheetFormatPr defaultRowHeight="14.4"/>
  <cols>
    <col min="1" max="1" width="14.109375" bestFit="1" customWidth="1"/>
    <col min="2" max="2" width="18.44140625" customWidth="1"/>
    <col min="3" max="3" width="12.109375" bestFit="1" customWidth="1"/>
    <col min="4" max="4" width="9.88671875" bestFit="1" customWidth="1"/>
  </cols>
  <sheetData>
    <row r="1" spans="1:4">
      <c r="A1" s="7"/>
      <c r="B1" s="7"/>
      <c r="C1" s="7"/>
    </row>
    <row r="2" spans="1:4">
      <c r="A2" s="16" t="s">
        <v>30</v>
      </c>
      <c r="B2" s="16" t="s">
        <v>36</v>
      </c>
      <c r="C2" s="16" t="s">
        <v>41</v>
      </c>
      <c r="D2" s="16" t="s">
        <v>25</v>
      </c>
    </row>
    <row r="3" spans="1:4">
      <c r="A3" s="10" t="s">
        <v>31</v>
      </c>
      <c r="B3" s="10" t="s">
        <v>37</v>
      </c>
      <c r="C3" s="10" t="s">
        <v>42</v>
      </c>
      <c r="D3" s="10" t="s">
        <v>45</v>
      </c>
    </row>
    <row r="4" spans="1:4">
      <c r="A4" s="10" t="s">
        <v>32</v>
      </c>
      <c r="B4" s="10" t="s">
        <v>38</v>
      </c>
      <c r="C4" s="10" t="s">
        <v>43</v>
      </c>
      <c r="D4" s="10" t="s">
        <v>46</v>
      </c>
    </row>
    <row r="5" spans="1:4">
      <c r="A5" s="10" t="s">
        <v>33</v>
      </c>
      <c r="B5" s="10" t="s">
        <v>39</v>
      </c>
      <c r="C5" s="10" t="s">
        <v>44</v>
      </c>
      <c r="D5" s="10" t="s">
        <v>47</v>
      </c>
    </row>
    <row r="6" spans="1:4">
      <c r="A6" s="10" t="s">
        <v>34</v>
      </c>
      <c r="B6" s="10" t="s">
        <v>40</v>
      </c>
      <c r="C6" s="10"/>
      <c r="D6" s="10"/>
    </row>
    <row r="7" spans="1:4">
      <c r="A7" s="10" t="s">
        <v>35</v>
      </c>
      <c r="B7" s="10"/>
      <c r="C7" s="10"/>
      <c r="D7" s="10"/>
    </row>
    <row r="9" spans="1:4">
      <c r="A9" s="22"/>
      <c r="B9" s="22"/>
    </row>
    <row r="11" spans="1:4">
      <c r="A11" s="14"/>
    </row>
    <row r="12" spans="1:4">
      <c r="A12" s="14"/>
    </row>
    <row r="13" spans="1:4">
      <c r="A13" s="14"/>
    </row>
    <row r="14" spans="1:4">
      <c r="A14" s="14"/>
    </row>
    <row r="15" spans="1:4">
      <c r="A15" s="14"/>
    </row>
    <row r="16" spans="1:4">
      <c r="A16" s="15"/>
    </row>
    <row r="17" spans="1:2">
      <c r="A17" s="22"/>
      <c r="B17" s="22"/>
    </row>
    <row r="18" spans="1:2">
      <c r="A18" s="13"/>
      <c r="B18" s="13"/>
    </row>
    <row r="23" spans="1:2">
      <c r="B23" s="4"/>
    </row>
  </sheetData>
  <mergeCells count="2">
    <mergeCell ref="A9:B9"/>
    <mergeCell ref="A17:B17"/>
  </mergeCells>
  <phoneticPr fontId="5" type="noConversion"/>
  <conditionalFormatting sqref="A11:A14">
    <cfRule type="duplicateValues" dxfId="38" priority="2"/>
  </conditionalFormatting>
  <conditionalFormatting sqref="A23">
    <cfRule type="duplicateValues" dxfId="37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8423-73A2-4E8D-A447-4E0875308CA5}">
  <sheetPr>
    <tabColor theme="5"/>
  </sheetPr>
  <dimension ref="A1:I16"/>
  <sheetViews>
    <sheetView tabSelected="1" zoomScale="75" zoomScaleNormal="75" workbookViewId="0">
      <selection activeCell="C19" sqref="C19"/>
    </sheetView>
  </sheetViews>
  <sheetFormatPr defaultRowHeight="14.4"/>
  <cols>
    <col min="1" max="1" width="12.88671875" bestFit="1" customWidth="1"/>
    <col min="2" max="2" width="20.88671875" bestFit="1" customWidth="1"/>
    <col min="3" max="3" width="17.33203125" bestFit="1" customWidth="1"/>
    <col min="4" max="4" width="10.109375" bestFit="1" customWidth="1"/>
    <col min="5" max="5" width="10.44140625" bestFit="1" customWidth="1"/>
    <col min="6" max="6" width="16.5546875" bestFit="1" customWidth="1"/>
    <col min="7" max="7" width="10.33203125" bestFit="1" customWidth="1"/>
    <col min="8" max="8" width="16.5546875" bestFit="1" customWidth="1"/>
    <col min="9" max="9" width="14.6640625" bestFit="1" customWidth="1"/>
  </cols>
  <sheetData>
    <row r="1" spans="1:9" ht="15.6">
      <c r="A1" s="23" t="s">
        <v>59</v>
      </c>
      <c r="B1" s="23"/>
      <c r="C1" s="23"/>
      <c r="D1" s="23"/>
      <c r="E1" s="23"/>
      <c r="F1" s="24"/>
      <c r="G1" s="24"/>
      <c r="H1" s="24"/>
      <c r="I1" s="24"/>
    </row>
    <row r="2" spans="1:9" ht="15.6">
      <c r="A2" s="24"/>
      <c r="B2" s="24"/>
      <c r="C2" s="24"/>
      <c r="D2" s="24"/>
      <c r="E2" s="24"/>
      <c r="F2" s="24"/>
      <c r="G2" s="24"/>
      <c r="H2" s="24"/>
      <c r="I2" s="24"/>
    </row>
    <row r="3" spans="1:9" ht="15.6">
      <c r="A3" s="25" t="s">
        <v>60</v>
      </c>
      <c r="B3" s="25" t="s">
        <v>61</v>
      </c>
      <c r="C3" s="25" t="s">
        <v>14</v>
      </c>
      <c r="D3" s="25" t="s">
        <v>62</v>
      </c>
      <c r="E3" s="25" t="s">
        <v>25</v>
      </c>
      <c r="F3" s="26" t="s">
        <v>63</v>
      </c>
      <c r="G3" s="25" t="s">
        <v>64</v>
      </c>
      <c r="H3" s="25" t="s">
        <v>65</v>
      </c>
      <c r="I3" s="25" t="s">
        <v>66</v>
      </c>
    </row>
    <row r="4" spans="1:9">
      <c r="A4" s="27">
        <v>1001</v>
      </c>
      <c r="B4" s="10" t="s">
        <v>67</v>
      </c>
      <c r="C4" s="10" t="s">
        <v>37</v>
      </c>
      <c r="D4" s="10" t="s">
        <v>68</v>
      </c>
      <c r="E4" s="10" t="s">
        <v>69</v>
      </c>
      <c r="F4" s="28">
        <v>45306</v>
      </c>
      <c r="G4" s="29">
        <v>45000</v>
      </c>
      <c r="H4" s="30" t="s">
        <v>70</v>
      </c>
      <c r="I4" s="10"/>
    </row>
    <row r="5" spans="1:9">
      <c r="A5" s="27">
        <v>1002</v>
      </c>
      <c r="B5" s="10" t="s">
        <v>71</v>
      </c>
      <c r="C5" s="10" t="s">
        <v>40</v>
      </c>
      <c r="D5" s="10" t="s">
        <v>72</v>
      </c>
      <c r="E5" s="10" t="s">
        <v>69</v>
      </c>
      <c r="F5" s="28">
        <v>44995</v>
      </c>
      <c r="G5" s="29">
        <v>55000</v>
      </c>
      <c r="H5" s="30" t="s">
        <v>73</v>
      </c>
      <c r="I5" s="10"/>
    </row>
    <row r="6" spans="1:9">
      <c r="A6" s="27">
        <v>1003</v>
      </c>
      <c r="B6" s="10" t="s">
        <v>74</v>
      </c>
      <c r="C6" s="10" t="s">
        <v>38</v>
      </c>
      <c r="D6" s="10" t="s">
        <v>75</v>
      </c>
      <c r="E6" s="10" t="s">
        <v>42</v>
      </c>
      <c r="F6" s="28">
        <v>44701</v>
      </c>
      <c r="G6" s="29">
        <v>65000</v>
      </c>
      <c r="H6" s="30" t="s">
        <v>76</v>
      </c>
      <c r="I6" s="10"/>
    </row>
    <row r="7" spans="1:9">
      <c r="A7" s="27">
        <v>1004</v>
      </c>
      <c r="B7" s="10" t="s">
        <v>77</v>
      </c>
      <c r="C7" s="10" t="s">
        <v>78</v>
      </c>
      <c r="D7" s="10" t="s">
        <v>68</v>
      </c>
      <c r="E7" s="10" t="s">
        <v>69</v>
      </c>
      <c r="F7" s="28">
        <v>44389</v>
      </c>
      <c r="G7" s="29">
        <v>50000</v>
      </c>
      <c r="H7" s="30" t="s">
        <v>79</v>
      </c>
      <c r="I7" s="10"/>
    </row>
    <row r="8" spans="1:9">
      <c r="A8" s="27">
        <v>1005</v>
      </c>
      <c r="B8" s="10" t="s">
        <v>80</v>
      </c>
      <c r="C8" s="10" t="s">
        <v>81</v>
      </c>
      <c r="D8" s="10" t="s">
        <v>15</v>
      </c>
      <c r="E8" s="10" t="s">
        <v>82</v>
      </c>
      <c r="F8" s="28">
        <v>44075</v>
      </c>
      <c r="G8" s="29">
        <v>70000</v>
      </c>
      <c r="H8" s="30" t="s">
        <v>83</v>
      </c>
      <c r="I8" s="10"/>
    </row>
    <row r="11" spans="1:9" ht="15.6">
      <c r="A11" s="25" t="s">
        <v>60</v>
      </c>
      <c r="B11" s="31" t="s">
        <v>61</v>
      </c>
      <c r="C11" s="31" t="s">
        <v>14</v>
      </c>
      <c r="D11" s="31" t="s">
        <v>62</v>
      </c>
      <c r="E11" s="31" t="s">
        <v>25</v>
      </c>
      <c r="F11" s="32" t="s">
        <v>63</v>
      </c>
      <c r="G11" s="31" t="s">
        <v>64</v>
      </c>
      <c r="H11" s="31" t="s">
        <v>65</v>
      </c>
      <c r="I11" s="31" t="s">
        <v>66</v>
      </c>
    </row>
    <row r="12" spans="1:9">
      <c r="A12" s="9">
        <v>1006</v>
      </c>
      <c r="B12" s="10" t="s">
        <v>84</v>
      </c>
      <c r="C12" s="10" t="s">
        <v>37</v>
      </c>
      <c r="D12" s="10" t="s">
        <v>68</v>
      </c>
      <c r="E12" s="10" t="s">
        <v>69</v>
      </c>
      <c r="F12" s="28">
        <v>45306</v>
      </c>
      <c r="G12" s="10">
        <v>45000</v>
      </c>
      <c r="H12" s="30" t="s">
        <v>85</v>
      </c>
      <c r="I12" s="33">
        <f t="shared" ref="I12:I16" ca="1" si="0">YEAR(TODAY())-YEAR(F12)</f>
        <v>2</v>
      </c>
    </row>
    <row r="13" spans="1:9">
      <c r="A13" s="9">
        <v>1007</v>
      </c>
      <c r="B13" s="10" t="s">
        <v>71</v>
      </c>
      <c r="C13" s="10" t="s">
        <v>40</v>
      </c>
      <c r="D13" s="10" t="s">
        <v>75</v>
      </c>
      <c r="E13" s="10" t="s">
        <v>42</v>
      </c>
      <c r="F13" s="28">
        <v>44995</v>
      </c>
      <c r="G13" s="10">
        <v>65000</v>
      </c>
      <c r="H13" s="30" t="s">
        <v>73</v>
      </c>
      <c r="I13" s="33">
        <f t="shared" ca="1" si="0"/>
        <v>3</v>
      </c>
    </row>
    <row r="14" spans="1:9">
      <c r="A14" s="9">
        <v>1008</v>
      </c>
      <c r="B14" s="10" t="s">
        <v>74</v>
      </c>
      <c r="C14" s="10" t="s">
        <v>38</v>
      </c>
      <c r="D14" s="10" t="s">
        <v>15</v>
      </c>
      <c r="E14" s="10" t="s">
        <v>82</v>
      </c>
      <c r="F14" s="28">
        <v>44701</v>
      </c>
      <c r="G14" s="10">
        <v>50000</v>
      </c>
      <c r="H14" s="30" t="s">
        <v>76</v>
      </c>
      <c r="I14" s="33">
        <f t="shared" ca="1" si="0"/>
        <v>4</v>
      </c>
    </row>
    <row r="15" spans="1:9">
      <c r="A15" s="9">
        <v>1009</v>
      </c>
      <c r="B15" s="10" t="s">
        <v>77</v>
      </c>
      <c r="C15" s="10" t="s">
        <v>78</v>
      </c>
      <c r="D15" s="10" t="s">
        <v>72</v>
      </c>
      <c r="E15" s="10" t="s">
        <v>42</v>
      </c>
      <c r="F15" s="28">
        <v>44389</v>
      </c>
      <c r="G15" s="10">
        <v>50000</v>
      </c>
      <c r="H15" s="30" t="s">
        <v>79</v>
      </c>
      <c r="I15" s="33">
        <f t="shared" ca="1" si="0"/>
        <v>5</v>
      </c>
    </row>
    <row r="16" spans="1:9">
      <c r="A16" s="9">
        <v>1100</v>
      </c>
      <c r="B16" s="10" t="s">
        <v>80</v>
      </c>
      <c r="C16" s="10" t="s">
        <v>81</v>
      </c>
      <c r="D16" s="10" t="s">
        <v>15</v>
      </c>
      <c r="E16" s="10" t="s">
        <v>82</v>
      </c>
      <c r="F16" s="28">
        <v>44075</v>
      </c>
      <c r="G16" s="10">
        <v>45000</v>
      </c>
      <c r="H16" s="30" t="s">
        <v>86</v>
      </c>
      <c r="I16" s="33">
        <f t="shared" ca="1" si="0"/>
        <v>6</v>
      </c>
    </row>
  </sheetData>
  <dataConsolidate/>
  <mergeCells count="1">
    <mergeCell ref="A1:E1"/>
  </mergeCells>
  <conditionalFormatting sqref="I12:I16">
    <cfRule type="cellIs" dxfId="18" priority="16" operator="between">
      <formula>"entre 2 "</formula>
      <formula>"5 años"</formula>
    </cfRule>
    <cfRule type="cellIs" dxfId="19" priority="13" operator="lessThan">
      <formula>2</formula>
    </cfRule>
    <cfRule type="cellIs" dxfId="20" priority="12" operator="lessThan">
      <formula>"2 años"</formula>
    </cfRule>
    <cfRule type="cellIs" dxfId="21" priority="11" operator="between">
      <formula>2</formula>
      <formula>3</formula>
    </cfRule>
    <cfRule type="cellIs" dxfId="22" priority="10" operator="lessThan">
      <formula>3</formula>
    </cfRule>
    <cfRule type="cellIs" dxfId="23" priority="9" operator="between">
      <formula>3</formula>
      <formula>5</formula>
    </cfRule>
    <cfRule type="cellIs" dxfId="24" priority="8" operator="greaterThan">
      <formula>5</formula>
    </cfRule>
    <cfRule type="cellIs" dxfId="17" priority="7" operator="lessThan">
      <formula>3</formula>
    </cfRule>
  </conditionalFormatting>
  <conditionalFormatting sqref="G12:G16">
    <cfRule type="cellIs" dxfId="15" priority="6" operator="lessThan">
      <formula>50000</formula>
    </cfRule>
    <cfRule type="cellIs" dxfId="16" priority="5" operator="between">
      <formula>50000</formula>
      <formula>60000</formula>
    </cfRule>
    <cfRule type="cellIs" dxfId="14" priority="4" operator="greaterThan">
      <formula>60000</formula>
    </cfRule>
  </conditionalFormatting>
  <conditionalFormatting sqref="E12:E16">
    <cfRule type="cellIs" dxfId="12" priority="3" operator="equal">
      <formula>"Activo"</formula>
    </cfRule>
    <cfRule type="cellIs" dxfId="13" priority="2" operator="equal">
      <formula>"Inactivo"</formula>
    </cfRule>
    <cfRule type="cellIs" dxfId="11" priority="1" operator="equal">
      <formula>"Vacaciones"</formula>
    </cfRule>
  </conditionalFormatting>
  <dataValidations count="8">
    <dataValidation type="whole" allowBlank="1" showInputMessage="1" showErrorMessage="1" sqref="A12:A16" xr:uid="{8F48D513-8A85-4A6A-AFAE-2D73E0BB7B08}">
      <formula1>1000</formula1>
      <formula2>10000</formula2>
    </dataValidation>
    <dataValidation type="list" allowBlank="1" showInputMessage="1" showErrorMessage="1" sqref="B12:B16" xr:uid="{05BB5CFD-FBE2-40A2-AFFA-61F3F95E9F44}">
      <formula1>$B$4:$B$8</formula1>
    </dataValidation>
    <dataValidation type="list" allowBlank="1" showInputMessage="1" showErrorMessage="1" sqref="C12:C16" xr:uid="{3F7E3068-484A-4A38-B67F-214A606183D4}">
      <formula1>$C$4:$C$8</formula1>
    </dataValidation>
    <dataValidation type="list" allowBlank="1" showInputMessage="1" showErrorMessage="1" sqref="D12:D16" xr:uid="{502A5DB6-2F3C-4595-BA83-CE6CC6ED696B}">
      <formula1>$D$4:$D$8</formula1>
    </dataValidation>
    <dataValidation type="list" allowBlank="1" showInputMessage="1" showErrorMessage="1" sqref="E12:E16" xr:uid="{9E4DDF4C-FEC8-499C-ADAF-714BF345D3C6}">
      <formula1>$E$4:$E$8</formula1>
    </dataValidation>
    <dataValidation type="list" allowBlank="1" showInputMessage="1" showErrorMessage="1" sqref="G12 G14:G16" xr:uid="{5F4B5EEB-F8F7-4E70-8805-D043155E0093}">
      <formula1>$G$4:$G$8</formula1>
    </dataValidation>
    <dataValidation type="whole" allowBlank="1" showInputMessage="1" showErrorMessage="1" sqref="G13" xr:uid="{0BD79EAD-9FD2-4264-BCCA-96F09A60B6EA}">
      <formula1>45000</formula1>
      <formula2>3000000</formula2>
    </dataValidation>
    <dataValidation type="custom" allowBlank="1" showInputMessage="1" showErrorMessage="1" sqref="H12:H16" xr:uid="{296F2250-1528-4165-B27D-59ED62270309}">
      <formula1>ISNUMBER(SEARCH("@",H12))</formula1>
    </dataValidation>
  </dataValidations>
  <hyperlinks>
    <hyperlink ref="H4" r:id="rId1" xr:uid="{D2FCBA86-1757-4B53-BBAF-36E1C7D4031D}"/>
    <hyperlink ref="H5" r:id="rId2" xr:uid="{C3A7B6BB-45DE-4B8F-8310-75A62EF6037C}"/>
    <hyperlink ref="H6" r:id="rId3" xr:uid="{C2039AB9-B33E-401F-B656-D4FE672B0668}"/>
    <hyperlink ref="H7" r:id="rId4" xr:uid="{20F74F1C-CF49-46CE-A323-D7BA9058723E}"/>
    <hyperlink ref="H8" r:id="rId5" xr:uid="{7B1E8E68-2568-4193-821C-1E1CFF5847FF}"/>
    <hyperlink ref="H12" r:id="rId6" xr:uid="{9CFAB703-88FF-4216-8356-FF15276B18A7}"/>
    <hyperlink ref="H13" r:id="rId7" xr:uid="{CB5BDCFC-D0DF-4A06-A445-2F801F1F619E}"/>
    <hyperlink ref="H14" r:id="rId8" xr:uid="{CF607E24-8C85-48E7-9E07-EB4E4AACA199}"/>
    <hyperlink ref="H15" r:id="rId9" xr:uid="{DA42AAD8-39E1-4369-8082-577058440EDF}"/>
    <hyperlink ref="H16" r:id="rId10" xr:uid="{783378EB-7815-4A1B-A127-FA2BDC1AFEE8}"/>
  </hyperlinks>
  <pageMargins left="0.7" right="0.7" top="0.75" bottom="0.75" header="0.3" footer="0.3"/>
  <tableParts count="2"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Validacion de Datos</vt:lpstr>
      <vt:lpstr>Solicitudes</vt:lpstr>
      <vt:lpstr>Listas</vt:lpstr>
      <vt:lpstr>REGISTRO DE 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2026-06-13T00:07:14Z</dcterms:created>
  <dcterms:modified xsi:type="dcterms:W3CDTF">2026-06-17T21:51:20Z</dcterms:modified>
</cp:coreProperties>
</file>