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hidePivotFieldList="1"/>
  <mc:AlternateContent xmlns:mc="http://schemas.openxmlformats.org/markup-compatibility/2006">
    <mc:Choice Requires="x15">
      <x15ac:absPath xmlns:x15ac="http://schemas.microsoft.com/office/spreadsheetml/2010/11/ac" url="https://d.docs.live.net/1d86eecf8daf4f0d/Documents/SQL Server Management Studio 22/Tienda-sqlserver/"/>
    </mc:Choice>
  </mc:AlternateContent>
  <xr:revisionPtr revIDLastSave="0" documentId="8_{A2C2F90C-5A8A-43F4-B6C9-84C75EE12889}" xr6:coauthVersionLast="47" xr6:coauthVersionMax="47" xr10:uidLastSave="{00000000-0000-0000-0000-000000000000}"/>
  <bookViews>
    <workbookView xWindow="0" yWindow="0" windowWidth="12528" windowHeight="12240" xr2:uid="{267F9C66-3B31-4B7E-BBC8-A6B632ADD068}"/>
  </bookViews>
  <sheets>
    <sheet name="Resumen de Sistema " sheetId="2" r:id="rId1"/>
    <sheet name="Sistema de Evaluacion" sheetId="1" r:id="rId2"/>
  </sheets>
  <definedNames>
    <definedName name="Slicer_Departamento">#N/A</definedName>
    <definedName name="Slicer_Empleado">#N/A</definedName>
    <definedName name="Slicer_Mes">#N/A</definedName>
    <definedName name="Slicer_Ventas">#N/A</definedName>
  </definedNames>
  <calcPr calcId="191029"/>
  <pivotCaches>
    <pivotCache cacheId="22" r:id="rId3"/>
  </pivotCaches>
  <extLst>
    <ext xmlns:x14="http://schemas.microsoft.com/office/spreadsheetml/2009/9/main" uri="{BBE1A952-AA13-448e-AADC-164F8A28A991}">
      <x14:slicerCaches>
        <x14:slicerCache r:id="rId4"/>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4" i="1" l="1"/>
  <c r="H5" i="1"/>
  <c r="H6" i="1"/>
  <c r="H7" i="1"/>
  <c r="H8" i="1"/>
  <c r="H9" i="1"/>
  <c r="H10" i="1"/>
  <c r="H11" i="1"/>
  <c r="H12" i="1"/>
  <c r="H13" i="1"/>
  <c r="G5" i="1"/>
  <c r="G6" i="1"/>
  <c r="G7" i="1"/>
  <c r="G8" i="1"/>
  <c r="G9" i="1"/>
  <c r="G10" i="1"/>
  <c r="G11" i="1"/>
  <c r="G12" i="1"/>
  <c r="G13" i="1"/>
  <c r="G4" i="1"/>
  <c r="J7" i="1"/>
  <c r="J6" i="1"/>
  <c r="J5" i="1"/>
</calcChain>
</file>

<file path=xl/sharedStrings.xml><?xml version="1.0" encoding="utf-8"?>
<sst xmlns="http://schemas.openxmlformats.org/spreadsheetml/2006/main" count="72" uniqueCount="33">
  <si>
    <t>ID</t>
  </si>
  <si>
    <t>Empleado</t>
  </si>
  <si>
    <t>Departamento</t>
  </si>
  <si>
    <t>Salario</t>
  </si>
  <si>
    <t>Ventas</t>
  </si>
  <si>
    <t>Mes</t>
  </si>
  <si>
    <t>Carlos</t>
  </si>
  <si>
    <t>Enero</t>
  </si>
  <si>
    <t>Maria</t>
  </si>
  <si>
    <t>RRHH</t>
  </si>
  <si>
    <t>Pedro</t>
  </si>
  <si>
    <t>Febrero</t>
  </si>
  <si>
    <t>Ana</t>
  </si>
  <si>
    <t>Finanzas</t>
  </si>
  <si>
    <t>Luis</t>
  </si>
  <si>
    <t>Marzo</t>
  </si>
  <si>
    <t>Carmen</t>
  </si>
  <si>
    <t>Roberto</t>
  </si>
  <si>
    <t>Sofia</t>
  </si>
  <si>
    <t>Juan</t>
  </si>
  <si>
    <t>Elena</t>
  </si>
  <si>
    <t>Bono</t>
  </si>
  <si>
    <t>Total</t>
  </si>
  <si>
    <t>Sistema-Evaluacion-Empleados-2026</t>
  </si>
  <si>
    <t>Row Labels</t>
  </si>
  <si>
    <t>Grand Total</t>
  </si>
  <si>
    <t>Sum of Salario</t>
  </si>
  <si>
    <t>Sum of Ventas</t>
  </si>
  <si>
    <t>(All)</t>
  </si>
  <si>
    <t>Sum of Total</t>
  </si>
  <si>
    <t>COUNTIF</t>
  </si>
  <si>
    <t>SUMIF</t>
  </si>
  <si>
    <t>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</si>
</sst>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2C0A]\ * #,##0.00_-;\-[$$-2C0A]\ * #,##0.00_-;_-[$$-2C0A]\ * &quot;-&quot;??_-;_-@_-"/>
  </numFmts>
  <fonts count="10" x14ac:knownFonts="1">
    <font>
      <sz val="11"/>
      <color theme="1"/>
      <name val="Gill Sans MT"/>
      <family val="2"/>
      <scheme val="minor"/>
    </font>
    <font>
      <sz val="11"/>
      <color theme="1"/>
      <name val="Gill Sans MT"/>
      <family val="2"/>
      <scheme val="minor"/>
    </font>
    <font>
      <b/>
      <sz val="11"/>
      <color theme="1"/>
      <name val="Gill Sans MT"/>
      <family val="2"/>
      <scheme val="minor"/>
    </font>
    <font>
      <sz val="12"/>
      <color theme="1"/>
      <name val="Times New Roman"/>
      <family val="1"/>
    </font>
    <font>
      <sz val="12"/>
      <color theme="0"/>
      <name val="Times New Roman"/>
      <family val="1"/>
    </font>
    <font>
      <b/>
      <sz val="12"/>
      <color theme="0"/>
      <name val="Times New Roman"/>
      <family val="1"/>
    </font>
    <font>
      <b/>
      <sz val="14"/>
      <color theme="4"/>
      <name val="Times New Roman"/>
      <family val="1"/>
    </font>
    <font>
      <sz val="11"/>
      <color indexed="8"/>
      <name val="Gill Sans MT"/>
      <family val="2"/>
      <scheme val="minor"/>
    </font>
    <font>
      <b/>
      <sz val="11"/>
      <color theme="4"/>
      <name val="Gill Sans MT"/>
      <family val="2"/>
      <scheme val="minor"/>
    </font>
    <font>
      <i/>
      <sz val="11"/>
      <color indexed="8"/>
      <name val="Gill Sans MT"/>
      <family val="2"/>
      <scheme val="minor"/>
    </font>
  </fonts>
  <fills count="5">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theme="4" tint="0.39994506668294322"/>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2">
    <xf numFmtId="0" fontId="0" fillId="0" borderId="0"/>
    <xf numFmtId="9" fontId="1" fillId="0" borderId="0" applyFont="0" applyFill="0" applyBorder="0" applyAlignment="0" applyProtection="0"/>
  </cellStyleXfs>
  <cellXfs count="26">
    <xf numFmtId="0" fontId="0" fillId="0" borderId="0" xfId="0"/>
    <xf numFmtId="0" fontId="3" fillId="0" borderId="0" xfId="0" applyFont="1"/>
    <xf numFmtId="0" fontId="0" fillId="0" borderId="0" xfId="0" applyAlignment="1">
      <alignment horizontal="center" vertical="center"/>
    </xf>
    <xf numFmtId="0" fontId="3" fillId="0" borderId="0" xfId="0" applyFont="1" applyAlignment="1">
      <alignment horizontal="center" vertical="center" wrapText="1"/>
    </xf>
    <xf numFmtId="0" fontId="3" fillId="0" borderId="0" xfId="0" applyFont="1" applyAlignment="1">
      <alignment horizontal="center"/>
    </xf>
    <xf numFmtId="0" fontId="0" fillId="0" borderId="0" xfId="0" applyAlignment="1">
      <alignment horizontal="center"/>
    </xf>
    <xf numFmtId="0" fontId="0" fillId="0" borderId="0" xfId="0" applyAlignment="1">
      <alignment horizontal="left"/>
    </xf>
    <xf numFmtId="0" fontId="3" fillId="0" borderId="0" xfId="0" applyFont="1" applyAlignment="1">
      <alignment horizontal="left"/>
    </xf>
    <xf numFmtId="0" fontId="0" fillId="0" borderId="0" xfId="0" quotePrefix="1"/>
    <xf numFmtId="0" fontId="0" fillId="0" borderId="0" xfId="0" pivotButton="1"/>
    <xf numFmtId="0" fontId="0" fillId="0" borderId="0" xfId="0" applyAlignment="1">
      <alignment horizontal="left" indent="1"/>
    </xf>
    <xf numFmtId="0" fontId="0" fillId="0" borderId="0" xfId="0" applyAlignment="1">
      <alignment horizontal="left" indent="2"/>
    </xf>
    <xf numFmtId="0" fontId="0" fillId="0" borderId="0" xfId="0" applyNumberFormat="1"/>
    <xf numFmtId="0" fontId="2" fillId="0" borderId="0" xfId="0" applyFont="1"/>
    <xf numFmtId="0" fontId="5" fillId="2" borderId="4" xfId="0" applyFont="1" applyFill="1" applyBorder="1" applyAlignment="1">
      <alignment horizontal="left"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6" fillId="3" borderId="0" xfId="0" applyFont="1" applyFill="1" applyAlignment="1">
      <alignment horizontal="left"/>
    </xf>
    <xf numFmtId="0" fontId="4" fillId="4" borderId="2" xfId="0" applyFont="1" applyFill="1" applyBorder="1" applyAlignment="1">
      <alignment horizontal="left"/>
    </xf>
    <xf numFmtId="0" fontId="4" fillId="4" borderId="1" xfId="0" applyFont="1" applyFill="1" applyBorder="1" applyAlignment="1">
      <alignment horizontal="center"/>
    </xf>
    <xf numFmtId="0" fontId="4" fillId="4" borderId="3" xfId="0" applyFont="1" applyFill="1" applyBorder="1" applyAlignment="1">
      <alignment horizontal="center"/>
    </xf>
    <xf numFmtId="0" fontId="4" fillId="4" borderId="7" xfId="0" applyFont="1" applyFill="1" applyBorder="1" applyAlignment="1">
      <alignment horizontal="left"/>
    </xf>
    <xf numFmtId="0" fontId="4" fillId="4" borderId="8" xfId="0" applyFont="1" applyFill="1" applyBorder="1" applyAlignment="1">
      <alignment horizontal="center"/>
    </xf>
    <xf numFmtId="164" fontId="8" fillId="0" borderId="1" xfId="0" applyNumberFormat="1" applyFont="1" applyBorder="1"/>
    <xf numFmtId="49" fontId="8" fillId="0" borderId="1" xfId="0" applyNumberFormat="1" applyFont="1" applyBorder="1" applyAlignment="1">
      <alignment horizontal="right"/>
    </xf>
    <xf numFmtId="164" fontId="8" fillId="0" borderId="1" xfId="1" applyNumberFormat="1" applyFont="1" applyBorder="1"/>
  </cellXfs>
  <cellStyles count="2">
    <cellStyle name="Normal" xfId="0" builtinId="0"/>
    <cellStyle name="Percent" xfId="1" builtinId="5"/>
  </cellStyles>
  <dxfs count="20">
    <dxf>
      <fill>
        <patternFill>
          <bgColor theme="8"/>
        </patternFill>
      </fill>
    </dxf>
    <dxf>
      <fill>
        <patternFill>
          <bgColor rgb="FF00B050"/>
        </patternFill>
      </fill>
    </dxf>
    <dxf>
      <fill>
        <patternFill>
          <bgColor rgb="FF7030A0"/>
        </patternFill>
      </fill>
    </dxf>
    <dxf>
      <fill>
        <patternFill>
          <bgColor rgb="FF00B050"/>
        </patternFill>
      </fill>
    </dxf>
    <dxf>
      <fill>
        <patternFill>
          <bgColor theme="8"/>
        </patternFill>
      </fill>
    </dxf>
    <dxf>
      <fill>
        <patternFill>
          <bgColor rgb="FF00B050"/>
        </patternFill>
      </fill>
    </dxf>
    <dxf>
      <font>
        <b val="0"/>
        <i val="0"/>
        <strike val="0"/>
        <condense val="0"/>
        <extend val="0"/>
        <outline val="0"/>
        <shadow val="0"/>
        <u val="none"/>
        <vertAlign val="baseline"/>
        <sz val="12"/>
        <color theme="0"/>
        <name val="Times New Roman"/>
        <family val="1"/>
        <scheme val="none"/>
      </font>
      <numFmt numFmtId="0" formatCode="General"/>
      <fill>
        <patternFill patternType="solid">
          <fgColor indexed="64"/>
          <bgColor theme="4" tint="0.3999450666829432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dxf>
    <dxf>
      <font>
        <b val="0"/>
        <i val="0"/>
        <strike val="0"/>
        <condense val="0"/>
        <extend val="0"/>
        <outline val="0"/>
        <shadow val="0"/>
        <u val="none"/>
        <vertAlign val="baseline"/>
        <sz val="12"/>
        <color theme="0"/>
        <name val="Times New Roman"/>
        <family val="1"/>
        <scheme val="none"/>
      </font>
      <numFmt numFmtId="0" formatCode="General"/>
      <fill>
        <patternFill patternType="solid">
          <fgColor indexed="64"/>
          <bgColor theme="4" tint="0.3999450666829432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Times New Roman"/>
        <family val="1"/>
        <scheme val="none"/>
      </font>
      <fill>
        <patternFill patternType="solid">
          <fgColor indexed="64"/>
          <bgColor theme="4" tint="0.39994506668294322"/>
        </patternFill>
      </fill>
      <alignment horizontal="center" vertical="bottom" textRotation="0" wrapText="0" indent="0" justifyLastLine="0" shrinkToFit="0" readingOrder="0"/>
    </dxf>
    <dxf>
      <font>
        <b val="0"/>
        <i val="0"/>
        <strike val="0"/>
        <condense val="0"/>
        <extend val="0"/>
        <outline val="0"/>
        <shadow val="0"/>
        <u val="none"/>
        <vertAlign val="baseline"/>
        <sz val="12"/>
        <color theme="0"/>
        <name val="Times New Roman"/>
        <family val="1"/>
        <scheme val="none"/>
      </font>
      <fill>
        <patternFill patternType="solid">
          <fgColor indexed="64"/>
          <bgColor theme="4" tint="0.3999450666829432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Times New Roman"/>
        <family val="1"/>
        <scheme val="none"/>
      </font>
      <fill>
        <patternFill patternType="solid">
          <fgColor indexed="64"/>
          <bgColor theme="4" tint="0.3999450666829432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Times New Roman"/>
        <family val="1"/>
        <scheme val="none"/>
      </font>
      <fill>
        <patternFill patternType="solid">
          <fgColor indexed="64"/>
          <bgColor theme="4" tint="0.3999450666829432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Times New Roman"/>
        <family val="1"/>
        <scheme val="none"/>
      </font>
      <fill>
        <patternFill patternType="solid">
          <fgColor indexed="64"/>
          <bgColor theme="4" tint="0.3999450666829432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Times New Roman"/>
        <family val="1"/>
        <scheme val="none"/>
      </font>
      <fill>
        <patternFill patternType="solid">
          <fgColor indexed="64"/>
          <bgColor theme="4" tint="0.3999450666829432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0"/>
        <name val="Times New Roman"/>
        <family val="1"/>
        <scheme val="none"/>
      </font>
      <fill>
        <patternFill patternType="solid">
          <fgColor indexed="64"/>
          <bgColor theme="4" tint="0.39994506668294322"/>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2"/>
        <color theme="0"/>
        <name val="Times New Roman"/>
        <family val="1"/>
        <scheme val="none"/>
      </font>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ill>
        <patternFill>
          <bgColor rgb="FF00B050"/>
        </patternFill>
      </fill>
    </dxf>
  </dxfs>
  <tableStyles count="0" defaultTableStyle="TableStyleMedium2" defaultPivotStyle="PivotStyleLight16"/>
  <colors>
    <mruColors>
      <color rgb="FF3F63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pivotCacheDefinition" Target="pivotCache/pivotCacheDefinition1.xml"/><Relationship Id="rId7" Type="http://schemas.microsoft.com/office/2007/relationships/slicerCache" Target="slicerCaches/slicerCache4.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calcChain" Target="calcChain.xml"/><Relationship Id="rId5" Type="http://schemas.microsoft.com/office/2007/relationships/slicerCache" Target="slicerCaches/slicerCache2.xml"/><Relationship Id="rId10" Type="http://schemas.openxmlformats.org/officeDocument/2006/relationships/sharedStrings" Target="sharedStrings.xml"/><Relationship Id="rId4" Type="http://schemas.microsoft.com/office/2007/relationships/slicerCache" Target="slicerCaches/slicerCache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[Sistema-Evaluacion-Empleados-2026.xlsm]Resumen de Sistema !Table2</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'Resumen de Sistema '!$B$4</c:f>
              <c:strCache>
                <c:ptCount val="1"/>
                <c:pt idx="0">
                  <c:v>Sum of Salario</c:v>
                </c:pt>
              </c:strCache>
            </c:strRef>
          </c:tx>
          <c:spPr>
            <a:solidFill>
              <a:schemeClr val="accent1"/>
            </a:solidFill>
            <a:ln>
              <a:noFill/>
            </a:ln>
            <a:effectLst/>
          </c:spPr>
          <c:invertIfNegative val="0"/>
          <c:cat>
            <c:multiLvlStrRef>
              <c:f>'Resumen de Sistema '!$A$5:$A$28</c:f>
              <c:multiLvlStrCache>
                <c:ptCount val="10"/>
                <c:lvl>
                  <c:pt idx="0">
                    <c:v>Febrero</c:v>
                  </c:pt>
                  <c:pt idx="1">
                    <c:v>Enero</c:v>
                  </c:pt>
                  <c:pt idx="2">
                    <c:v>Enero</c:v>
                  </c:pt>
                  <c:pt idx="3">
                    <c:v>Marzo</c:v>
                  </c:pt>
                  <c:pt idx="4">
                    <c:v>Enero</c:v>
                  </c:pt>
                  <c:pt idx="5">
                    <c:v>Enero</c:v>
                  </c:pt>
                  <c:pt idx="6">
                    <c:v>Marzo</c:v>
                  </c:pt>
                  <c:pt idx="7">
                    <c:v>Marzo</c:v>
                  </c:pt>
                  <c:pt idx="8">
                    <c:v>Febrero</c:v>
                  </c:pt>
                  <c:pt idx="9">
                    <c:v>Febrero</c:v>
                  </c:pt>
                </c:lvl>
                <c:lvl>
                  <c:pt idx="0">
                    <c:v>Ana</c:v>
                  </c:pt>
                  <c:pt idx="1">
                    <c:v>Elena</c:v>
                  </c:pt>
                  <c:pt idx="2">
                    <c:v>Roberto</c:v>
                  </c:pt>
                  <c:pt idx="3">
                    <c:v>Carmen</c:v>
                  </c:pt>
                  <c:pt idx="4">
                    <c:v>Maria</c:v>
                  </c:pt>
                  <c:pt idx="5">
                    <c:v>Carlos</c:v>
                  </c:pt>
                  <c:pt idx="6">
                    <c:v>Juan</c:v>
                  </c:pt>
                  <c:pt idx="7">
                    <c:v>Luis</c:v>
                  </c:pt>
                  <c:pt idx="8">
                    <c:v>Pedro</c:v>
                  </c:pt>
                  <c:pt idx="9">
                    <c:v>Sofia</c:v>
                  </c:pt>
                </c:lvl>
                <c:lvl>
                  <c:pt idx="0">
                    <c:v>Finanzas</c:v>
                  </c:pt>
                  <c:pt idx="3">
                    <c:v>RRHH</c:v>
                  </c:pt>
                  <c:pt idx="5">
                    <c:v>Ventas</c:v>
                  </c:pt>
                </c:lvl>
              </c:multiLvlStrCache>
            </c:multiLvlStrRef>
          </c:cat>
          <c:val>
            <c:numRef>
              <c:f>'Resumen de Sistema '!$B$5:$B$28</c:f>
              <c:numCache>
                <c:formatCode>General</c:formatCode>
                <c:ptCount val="10"/>
                <c:pt idx="0">
                  <c:v>40000</c:v>
                </c:pt>
                <c:pt idx="1">
                  <c:v>38000</c:v>
                </c:pt>
                <c:pt idx="2">
                  <c:v>42000</c:v>
                </c:pt>
                <c:pt idx="3">
                  <c:v>27000</c:v>
                </c:pt>
                <c:pt idx="4">
                  <c:v>28000</c:v>
                </c:pt>
                <c:pt idx="5">
                  <c:v>35000</c:v>
                </c:pt>
                <c:pt idx="6">
                  <c:v>29000</c:v>
                </c:pt>
                <c:pt idx="7">
                  <c:v>31000</c:v>
                </c:pt>
                <c:pt idx="8">
                  <c:v>32000</c:v>
                </c:pt>
                <c:pt idx="9">
                  <c:v>33000</c:v>
                </c:pt>
              </c:numCache>
            </c:numRef>
          </c:val>
          <c:extLst>
            <c:ext xmlns:c16="http://schemas.microsoft.com/office/drawing/2014/chart" uri="{C3380CC4-5D6E-409C-BE32-E72D297353CC}">
              <c16:uniqueId val="{00000000-1CFE-4A72-8210-52668A8536AE}"/>
            </c:ext>
          </c:extLst>
        </c:ser>
        <c:ser>
          <c:idx val="1"/>
          <c:order val="1"/>
          <c:tx>
            <c:strRef>
              <c:f>'Resumen de Sistema '!$C$4</c:f>
              <c:strCache>
                <c:ptCount val="1"/>
                <c:pt idx="0">
                  <c:v>Sum of Ventas</c:v>
                </c:pt>
              </c:strCache>
            </c:strRef>
          </c:tx>
          <c:spPr>
            <a:solidFill>
              <a:schemeClr val="accent2"/>
            </a:solidFill>
            <a:ln>
              <a:noFill/>
            </a:ln>
            <a:effectLst/>
          </c:spPr>
          <c:invertIfNegative val="0"/>
          <c:cat>
            <c:multiLvlStrRef>
              <c:f>'Resumen de Sistema '!$A$5:$A$28</c:f>
              <c:multiLvlStrCache>
                <c:ptCount val="10"/>
                <c:lvl>
                  <c:pt idx="0">
                    <c:v>Febrero</c:v>
                  </c:pt>
                  <c:pt idx="1">
                    <c:v>Enero</c:v>
                  </c:pt>
                  <c:pt idx="2">
                    <c:v>Enero</c:v>
                  </c:pt>
                  <c:pt idx="3">
                    <c:v>Marzo</c:v>
                  </c:pt>
                  <c:pt idx="4">
                    <c:v>Enero</c:v>
                  </c:pt>
                  <c:pt idx="5">
                    <c:v>Enero</c:v>
                  </c:pt>
                  <c:pt idx="6">
                    <c:v>Marzo</c:v>
                  </c:pt>
                  <c:pt idx="7">
                    <c:v>Marzo</c:v>
                  </c:pt>
                  <c:pt idx="8">
                    <c:v>Febrero</c:v>
                  </c:pt>
                  <c:pt idx="9">
                    <c:v>Febrero</c:v>
                  </c:pt>
                </c:lvl>
                <c:lvl>
                  <c:pt idx="0">
                    <c:v>Ana</c:v>
                  </c:pt>
                  <c:pt idx="1">
                    <c:v>Elena</c:v>
                  </c:pt>
                  <c:pt idx="2">
                    <c:v>Roberto</c:v>
                  </c:pt>
                  <c:pt idx="3">
                    <c:v>Carmen</c:v>
                  </c:pt>
                  <c:pt idx="4">
                    <c:v>Maria</c:v>
                  </c:pt>
                  <c:pt idx="5">
                    <c:v>Carlos</c:v>
                  </c:pt>
                  <c:pt idx="6">
                    <c:v>Juan</c:v>
                  </c:pt>
                  <c:pt idx="7">
                    <c:v>Luis</c:v>
                  </c:pt>
                  <c:pt idx="8">
                    <c:v>Pedro</c:v>
                  </c:pt>
                  <c:pt idx="9">
                    <c:v>Sofia</c:v>
                  </c:pt>
                </c:lvl>
                <c:lvl>
                  <c:pt idx="0">
                    <c:v>Finanzas</c:v>
                  </c:pt>
                  <c:pt idx="3">
                    <c:v>RRHH</c:v>
                  </c:pt>
                  <c:pt idx="5">
                    <c:v>Ventas</c:v>
                  </c:pt>
                </c:lvl>
              </c:multiLvlStrCache>
            </c:multiLvlStrRef>
          </c:cat>
          <c:val>
            <c:numRef>
              <c:f>'Resumen de Sistema '!$C$5:$C$28</c:f>
              <c:numCache>
                <c:formatCode>General</c:formatCode>
                <c:ptCount val="10"/>
                <c:pt idx="0">
                  <c:v>0</c:v>
                </c:pt>
                <c:pt idx="1">
                  <c:v>0</c:v>
                </c:pt>
                <c:pt idx="2">
                  <c:v>0</c:v>
                </c:pt>
                <c:pt idx="3">
                  <c:v>0</c:v>
                </c:pt>
                <c:pt idx="4">
                  <c:v>0</c:v>
                </c:pt>
                <c:pt idx="5">
                  <c:v>150000</c:v>
                </c:pt>
                <c:pt idx="6">
                  <c:v>88000</c:v>
                </c:pt>
                <c:pt idx="7">
                  <c:v>98000</c:v>
                </c:pt>
                <c:pt idx="8">
                  <c:v>120000</c:v>
                </c:pt>
                <c:pt idx="9">
                  <c:v>175000</c:v>
                </c:pt>
              </c:numCache>
            </c:numRef>
          </c:val>
          <c:extLst>
            <c:ext xmlns:c16="http://schemas.microsoft.com/office/drawing/2014/chart" uri="{C3380CC4-5D6E-409C-BE32-E72D297353CC}">
              <c16:uniqueId val="{00000001-1CFE-4A72-8210-52668A8536AE}"/>
            </c:ext>
          </c:extLst>
        </c:ser>
        <c:ser>
          <c:idx val="2"/>
          <c:order val="2"/>
          <c:tx>
            <c:strRef>
              <c:f>'Resumen de Sistema '!$D$4</c:f>
              <c:strCache>
                <c:ptCount val="1"/>
                <c:pt idx="0">
                  <c:v>Sum of Total</c:v>
                </c:pt>
              </c:strCache>
            </c:strRef>
          </c:tx>
          <c:spPr>
            <a:solidFill>
              <a:schemeClr val="accent3"/>
            </a:solidFill>
            <a:ln>
              <a:noFill/>
            </a:ln>
            <a:effectLst/>
          </c:spPr>
          <c:invertIfNegative val="0"/>
          <c:cat>
            <c:multiLvlStrRef>
              <c:f>'Resumen de Sistema '!$A$5:$A$28</c:f>
              <c:multiLvlStrCache>
                <c:ptCount val="10"/>
                <c:lvl>
                  <c:pt idx="0">
                    <c:v>Febrero</c:v>
                  </c:pt>
                  <c:pt idx="1">
                    <c:v>Enero</c:v>
                  </c:pt>
                  <c:pt idx="2">
                    <c:v>Enero</c:v>
                  </c:pt>
                  <c:pt idx="3">
                    <c:v>Marzo</c:v>
                  </c:pt>
                  <c:pt idx="4">
                    <c:v>Enero</c:v>
                  </c:pt>
                  <c:pt idx="5">
                    <c:v>Enero</c:v>
                  </c:pt>
                  <c:pt idx="6">
                    <c:v>Marzo</c:v>
                  </c:pt>
                  <c:pt idx="7">
                    <c:v>Marzo</c:v>
                  </c:pt>
                  <c:pt idx="8">
                    <c:v>Febrero</c:v>
                  </c:pt>
                  <c:pt idx="9">
                    <c:v>Febrero</c:v>
                  </c:pt>
                </c:lvl>
                <c:lvl>
                  <c:pt idx="0">
                    <c:v>Ana</c:v>
                  </c:pt>
                  <c:pt idx="1">
                    <c:v>Elena</c:v>
                  </c:pt>
                  <c:pt idx="2">
                    <c:v>Roberto</c:v>
                  </c:pt>
                  <c:pt idx="3">
                    <c:v>Carmen</c:v>
                  </c:pt>
                  <c:pt idx="4">
                    <c:v>Maria</c:v>
                  </c:pt>
                  <c:pt idx="5">
                    <c:v>Carlos</c:v>
                  </c:pt>
                  <c:pt idx="6">
                    <c:v>Juan</c:v>
                  </c:pt>
                  <c:pt idx="7">
                    <c:v>Luis</c:v>
                  </c:pt>
                  <c:pt idx="8">
                    <c:v>Pedro</c:v>
                  </c:pt>
                  <c:pt idx="9">
                    <c:v>Sofia</c:v>
                  </c:pt>
                </c:lvl>
                <c:lvl>
                  <c:pt idx="0">
                    <c:v>Finanzas</c:v>
                  </c:pt>
                  <c:pt idx="3">
                    <c:v>RRHH</c:v>
                  </c:pt>
                  <c:pt idx="5">
                    <c:v>Ventas</c:v>
                  </c:pt>
                </c:lvl>
              </c:multiLvlStrCache>
            </c:multiLvlStrRef>
          </c:cat>
          <c:val>
            <c:numRef>
              <c:f>'Resumen de Sistema '!$D$5:$D$28</c:f>
              <c:numCache>
                <c:formatCode>General</c:formatCode>
                <c:ptCount val="10"/>
                <c:pt idx="0">
                  <c:v>40000</c:v>
                </c:pt>
                <c:pt idx="1">
                  <c:v>38000</c:v>
                </c:pt>
                <c:pt idx="2">
                  <c:v>42000</c:v>
                </c:pt>
                <c:pt idx="3">
                  <c:v>27000</c:v>
                </c:pt>
                <c:pt idx="4">
                  <c:v>28000</c:v>
                </c:pt>
                <c:pt idx="5">
                  <c:v>38500</c:v>
                </c:pt>
                <c:pt idx="6">
                  <c:v>29000</c:v>
                </c:pt>
                <c:pt idx="7">
                  <c:v>31000</c:v>
                </c:pt>
                <c:pt idx="8">
                  <c:v>35200</c:v>
                </c:pt>
                <c:pt idx="9">
                  <c:v>36300</c:v>
                </c:pt>
              </c:numCache>
            </c:numRef>
          </c:val>
          <c:extLst>
            <c:ext xmlns:c16="http://schemas.microsoft.com/office/drawing/2014/chart" uri="{C3380CC4-5D6E-409C-BE32-E72D297353CC}">
              <c16:uniqueId val="{00000002-1CFE-4A72-8210-52668A8536AE}"/>
            </c:ext>
          </c:extLst>
        </c:ser>
        <c:dLbls>
          <c:showLegendKey val="0"/>
          <c:showVal val="0"/>
          <c:showCatName val="0"/>
          <c:showSerName val="0"/>
          <c:showPercent val="0"/>
          <c:showBubbleSize val="0"/>
        </c:dLbls>
        <c:gapWidth val="219"/>
        <c:overlap val="-27"/>
        <c:axId val="481191919"/>
        <c:axId val="481191439"/>
      </c:barChart>
      <c:catAx>
        <c:axId val="4811919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91439"/>
        <c:crosses val="autoZero"/>
        <c:auto val="1"/>
        <c:lblAlgn val="ctr"/>
        <c:lblOffset val="100"/>
        <c:noMultiLvlLbl val="0"/>
      </c:catAx>
      <c:valAx>
        <c:axId val="481191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191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822960</xdr:colOff>
      <xdr:row>3</xdr:row>
      <xdr:rowOff>30480</xdr:rowOff>
    </xdr:from>
    <xdr:to>
      <xdr:col>8</xdr:col>
      <xdr:colOff>281941</xdr:colOff>
      <xdr:row>15</xdr:row>
      <xdr:rowOff>97155</xdr:rowOff>
    </xdr:to>
    <mc:AlternateContent xmlns:mc="http://schemas.openxmlformats.org/markup-compatibility/2006">
      <mc:Choice xmlns:a14="http://schemas.microsoft.com/office/drawing/2010/main" Requires="a14">
        <xdr:graphicFrame macro="">
          <xdr:nvGraphicFramePr>
            <xdr:cNvPr id="2" name="Empleado">
              <a:extLst>
                <a:ext uri="{FF2B5EF4-FFF2-40B4-BE49-F238E27FC236}">
                  <a16:creationId xmlns:a16="http://schemas.microsoft.com/office/drawing/2014/main" id="{AC7A75E7-1B6B-5257-9B99-4E16D192812F}"/>
                </a:ext>
              </a:extLst>
            </xdr:cNvPr>
            <xdr:cNvGraphicFramePr/>
          </xdr:nvGraphicFramePr>
          <xdr:xfrm>
            <a:off x="0" y="0"/>
            <a:ext cx="0" cy="0"/>
          </xdr:xfrm>
          <a:graphic>
            <a:graphicData uri="http://schemas.microsoft.com/office/drawing/2010/slicer">
              <sle:slicer xmlns:sle="http://schemas.microsoft.com/office/drawing/2010/slicer" name="Empleado"/>
            </a:graphicData>
          </a:graphic>
        </xdr:graphicFrame>
      </mc:Choice>
      <mc:Fallback>
        <xdr:sp macro="" textlink="">
          <xdr:nvSpPr>
            <xdr:cNvPr id="0" name=""/>
            <xdr:cNvSpPr>
              <a:spLocks noTextEdit="1"/>
            </xdr:cNvSpPr>
          </xdr:nvSpPr>
          <xdr:spPr>
            <a:xfrm>
              <a:off x="6249887" y="727431"/>
              <a:ext cx="1828615" cy="2854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243840</xdr:colOff>
      <xdr:row>3</xdr:row>
      <xdr:rowOff>0</xdr:rowOff>
    </xdr:from>
    <xdr:to>
      <xdr:col>5</xdr:col>
      <xdr:colOff>716280</xdr:colOff>
      <xdr:row>15</xdr:row>
      <xdr:rowOff>66675</xdr:rowOff>
    </xdr:to>
    <mc:AlternateContent xmlns:mc="http://schemas.openxmlformats.org/markup-compatibility/2006">
      <mc:Choice xmlns:a14="http://schemas.microsoft.com/office/drawing/2010/main" Requires="a14">
        <xdr:graphicFrame macro="">
          <xdr:nvGraphicFramePr>
            <xdr:cNvPr id="3" name="Departamento">
              <a:extLst>
                <a:ext uri="{FF2B5EF4-FFF2-40B4-BE49-F238E27FC236}">
                  <a16:creationId xmlns:a16="http://schemas.microsoft.com/office/drawing/2014/main" id="{9E75709D-435B-4405-7E03-0CB71AC2C2E4}"/>
                </a:ext>
              </a:extLst>
            </xdr:cNvPr>
            <xdr:cNvGraphicFramePr/>
          </xdr:nvGraphicFramePr>
          <xdr:xfrm>
            <a:off x="0" y="0"/>
            <a:ext cx="0" cy="0"/>
          </xdr:xfrm>
          <a:graphic>
            <a:graphicData uri="http://schemas.microsoft.com/office/drawing/2010/slicer">
              <sle:slicer xmlns:sle="http://schemas.microsoft.com/office/drawing/2010/slicer" name="Departamento"/>
            </a:graphicData>
          </a:graphic>
        </xdr:graphicFrame>
      </mc:Choice>
      <mc:Fallback>
        <xdr:sp macro="" textlink="">
          <xdr:nvSpPr>
            <xdr:cNvPr id="0" name=""/>
            <xdr:cNvSpPr>
              <a:spLocks noTextEdit="1"/>
            </xdr:cNvSpPr>
          </xdr:nvSpPr>
          <xdr:spPr>
            <a:xfrm>
              <a:off x="4314035" y="696951"/>
              <a:ext cx="1829172" cy="2854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251460</xdr:colOff>
      <xdr:row>3</xdr:row>
      <xdr:rowOff>22860</xdr:rowOff>
    </xdr:from>
    <xdr:to>
      <xdr:col>14</xdr:col>
      <xdr:colOff>60961</xdr:colOff>
      <xdr:row>15</xdr:row>
      <xdr:rowOff>89535</xdr:rowOff>
    </xdr:to>
    <mc:AlternateContent xmlns:mc="http://schemas.openxmlformats.org/markup-compatibility/2006">
      <mc:Choice xmlns:a14="http://schemas.microsoft.com/office/drawing/2010/main" Requires="a14">
        <xdr:graphicFrame macro="">
          <xdr:nvGraphicFramePr>
            <xdr:cNvPr id="4" name="Ventas">
              <a:extLst>
                <a:ext uri="{FF2B5EF4-FFF2-40B4-BE49-F238E27FC236}">
                  <a16:creationId xmlns:a16="http://schemas.microsoft.com/office/drawing/2014/main" id="{AEB8B674-91B8-26FE-5900-7A401F9F38AD}"/>
                </a:ext>
              </a:extLst>
            </xdr:cNvPr>
            <xdr:cNvGraphicFramePr/>
          </xdr:nvGraphicFramePr>
          <xdr:xfrm>
            <a:off x="0" y="0"/>
            <a:ext cx="0" cy="0"/>
          </xdr:xfrm>
          <a:graphic>
            <a:graphicData uri="http://schemas.microsoft.com/office/drawing/2010/slicer">
              <sle:slicer xmlns:sle="http://schemas.microsoft.com/office/drawing/2010/slicer" name="Ventas"/>
            </a:graphicData>
          </a:graphic>
        </xdr:graphicFrame>
      </mc:Choice>
      <mc:Fallback>
        <xdr:sp macro="" textlink="">
          <xdr:nvSpPr>
            <xdr:cNvPr id="0" name=""/>
            <xdr:cNvSpPr>
              <a:spLocks noTextEdit="1"/>
            </xdr:cNvSpPr>
          </xdr:nvSpPr>
          <xdr:spPr>
            <a:xfrm>
              <a:off x="10018070" y="719811"/>
              <a:ext cx="1835306" cy="2854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248671</xdr:colOff>
      <xdr:row>15</xdr:row>
      <xdr:rowOff>205740</xdr:rowOff>
    </xdr:from>
    <xdr:to>
      <xdr:col>14</xdr:col>
      <xdr:colOff>102219</xdr:colOff>
      <xdr:row>27</xdr:row>
      <xdr:rowOff>205740</xdr:rowOff>
    </xdr:to>
    <xdr:graphicFrame macro="">
      <xdr:nvGraphicFramePr>
        <xdr:cNvPr id="13" name="Chart 12">
          <a:extLst>
            <a:ext uri="{FF2B5EF4-FFF2-40B4-BE49-F238E27FC236}">
              <a16:creationId xmlns:a16="http://schemas.microsoft.com/office/drawing/2014/main" id="{9C83F242-94C1-005D-C1EB-BC7BA191A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304800</xdr:colOff>
      <xdr:row>3</xdr:row>
      <xdr:rowOff>30480</xdr:rowOff>
    </xdr:from>
    <xdr:to>
      <xdr:col>11</xdr:col>
      <xdr:colOff>167639</xdr:colOff>
      <xdr:row>15</xdr:row>
      <xdr:rowOff>97155</xdr:rowOff>
    </xdr:to>
    <mc:AlternateContent xmlns:mc="http://schemas.openxmlformats.org/markup-compatibility/2006">
      <mc:Choice xmlns:a14="http://schemas.microsoft.com/office/drawing/2010/main" Requires="a14">
        <xdr:graphicFrame macro="">
          <xdr:nvGraphicFramePr>
            <xdr:cNvPr id="14" name="Mes">
              <a:extLst>
                <a:ext uri="{FF2B5EF4-FFF2-40B4-BE49-F238E27FC236}">
                  <a16:creationId xmlns:a16="http://schemas.microsoft.com/office/drawing/2014/main" id="{C73C4CA9-DE96-738B-631C-1CEF2740E0D1}"/>
                </a:ext>
              </a:extLst>
            </xdr:cNvPr>
            <xdr:cNvGraphicFramePr/>
          </xdr:nvGraphicFramePr>
          <xdr:xfrm>
            <a:off x="0" y="0"/>
            <a:ext cx="0" cy="0"/>
          </xdr:xfrm>
          <a:graphic>
            <a:graphicData uri="http://schemas.microsoft.com/office/drawing/2010/slicer">
              <sle:slicer xmlns:sle="http://schemas.microsoft.com/office/drawing/2010/slicer" name="Mes"/>
            </a:graphicData>
          </a:graphic>
        </xdr:graphicFrame>
      </mc:Choice>
      <mc:Fallback>
        <xdr:sp macro="" textlink="">
          <xdr:nvSpPr>
            <xdr:cNvPr id="0" name=""/>
            <xdr:cNvSpPr>
              <a:spLocks noTextEdit="1"/>
            </xdr:cNvSpPr>
          </xdr:nvSpPr>
          <xdr:spPr>
            <a:xfrm>
              <a:off x="8101361" y="727431"/>
              <a:ext cx="1832888" cy="2854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273080B5-2314-50AF-A978-552E62E556E8}"/>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FAE2AD11-5B70-127A-9D86-506FEE9EDFF9}"/>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940293CC-3B7F-DC20-6DD7-598CF51CD8A2}"/>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9E960F0D-6432-71BF-B225-CCD0D820EA97}"/>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0" name="Button 6" hidden="1">
              <a:extLst>
                <a:ext uri="{63B3BB69-23CF-44E3-9099-C40C66FF867C}">
                  <a14:compatExt spid="_x0000_s1030"/>
                </a:ext>
                <a:ext uri="{FF2B5EF4-FFF2-40B4-BE49-F238E27FC236}">
                  <a16:creationId xmlns:a16="http://schemas.microsoft.com/office/drawing/2014/main" id="{C4CD4E12-FC92-A82B-2148-D71A221D4158}"/>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1" name="Button 7" hidden="1">
              <a:extLst>
                <a:ext uri="{63B3BB69-23CF-44E3-9099-C40C66FF867C}">
                  <a14:compatExt spid="_x0000_s1031"/>
                </a:ext>
                <a:ext uri="{FF2B5EF4-FFF2-40B4-BE49-F238E27FC236}">
                  <a16:creationId xmlns:a16="http://schemas.microsoft.com/office/drawing/2014/main" id="{4B2E027A-4A35-8BE7-EE01-C68630F69E4A}"/>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72AE477F-3BE0-7895-02E9-E6FF747ADA3E}"/>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3" name="Button 9" hidden="1">
              <a:extLst>
                <a:ext uri="{63B3BB69-23CF-44E3-9099-C40C66FF867C}">
                  <a14:compatExt spid="_x0000_s1033"/>
                </a:ext>
                <a:ext uri="{FF2B5EF4-FFF2-40B4-BE49-F238E27FC236}">
                  <a16:creationId xmlns:a16="http://schemas.microsoft.com/office/drawing/2014/main" id="{5A9E9B6F-F307-9AB2-DF9B-024B360590E7}"/>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249F3C4C-BB00-9220-A269-41FCC1E7E509}"/>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1CFA08F8-BDF7-7886-CD4F-52F6104B3854}"/>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C0FEFBF0-2B9E-9B05-7D32-ED32B26B6E82}"/>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34F4AABA-0852-C616-260A-FB9FD394DDDB}"/>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832B02B3-7781-B78C-8FB2-1B5548E77A34}"/>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11</xdr:col>
          <xdr:colOff>0</xdr:colOff>
          <xdr:row>11</xdr:row>
          <xdr:rowOff>175260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ABAE8D7E-D039-4F53-A797-1A108806699F}"/>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10</xdr:col>
          <xdr:colOff>609600</xdr:colOff>
          <xdr:row>11</xdr:row>
          <xdr:rowOff>175260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329E8DA6-2E33-43F2-4AE7-700E502CCC07}"/>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1"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10</xdr:col>
          <xdr:colOff>609600</xdr:colOff>
          <xdr:row>11</xdr:row>
          <xdr:rowOff>175260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95FA4436-F0FC-9782-443E-01B3D8AE4365}"/>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10</xdr:col>
          <xdr:colOff>609600</xdr:colOff>
          <xdr:row>11</xdr:row>
          <xdr:rowOff>175260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660A3B-6FCE-BD8C-AE19-5BB0AA531DCB}"/>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53340</xdr:colOff>
          <xdr:row>8</xdr:row>
          <xdr:rowOff>182880</xdr:rowOff>
        </xdr:from>
        <xdr:to>
          <xdr:col>10</xdr:col>
          <xdr:colOff>609600</xdr:colOff>
          <xdr:row>11</xdr:row>
          <xdr:rowOff>175260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BBD5ED7C-99C5-FF90-6C5C-F19DA5F91473}"/>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100" b="0" i="0" u="none" strike="noStrike" baseline="0">
                  <a:solidFill>
                    <a:srgbClr val="000000"/>
                  </a:solidFill>
                  <a:latin typeface="Gill Sans MT"/>
                </a:rPr>
                <a:t>Aplicar Formato</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dwin" refreshedDate="46196.958798495369" createdVersion="8" refreshedVersion="8" minRefreshableVersion="3" recordCount="10" xr:uid="{1E3995CF-2FF5-4D4F-A5DF-925523868650}">
  <cacheSource type="worksheet">
    <worksheetSource name="Table_Evaluacion"/>
  </cacheSource>
  <cacheFields count="10">
    <cacheField name="ID" numFmtId="0">
      <sharedItems containsSemiMixedTypes="0" containsString="0" containsNumber="1" containsInteger="1" minValue="1" maxValue="10" count="10">
        <n v="1"/>
        <n v="2"/>
        <n v="3"/>
        <n v="4"/>
        <n v="5"/>
        <n v="6"/>
        <n v="7"/>
        <n v="8"/>
        <n v="9"/>
        <n v="10"/>
      </sharedItems>
    </cacheField>
    <cacheField name="Empleado" numFmtId="0">
      <sharedItems count="10">
        <s v="Carlos"/>
        <s v="Maria"/>
        <s v="Pedro"/>
        <s v="Ana"/>
        <s v="Luis"/>
        <s v="Carmen"/>
        <s v="Roberto"/>
        <s v="Sofia"/>
        <s v="Juan"/>
        <s v="Elena"/>
      </sharedItems>
    </cacheField>
    <cacheField name="Departamento" numFmtId="0">
      <sharedItems count="3">
        <s v="Ventas"/>
        <s v="RRHH"/>
        <s v="Finanzas"/>
      </sharedItems>
    </cacheField>
    <cacheField name="Salario" numFmtId="0">
      <sharedItems containsSemiMixedTypes="0" containsString="0" containsNumber="1" containsInteger="1" minValue="27000" maxValue="42000"/>
    </cacheField>
    <cacheField name="Ventas" numFmtId="0">
      <sharedItems containsSemiMixedTypes="0" containsString="0" containsNumber="1" containsInteger="1" minValue="0" maxValue="175000" count="6">
        <n v="150000"/>
        <n v="0"/>
        <n v="120000"/>
        <n v="98000"/>
        <n v="175000"/>
        <n v="88000"/>
      </sharedItems>
    </cacheField>
    <cacheField name="Mes" numFmtId="0">
      <sharedItems count="3">
        <s v="Enero"/>
        <s v="Febrero"/>
        <s v="Marzo"/>
      </sharedItems>
    </cacheField>
    <cacheField name="Bono" numFmtId="0">
      <sharedItems containsSemiMixedTypes="0" containsString="0" containsNumber="1" containsInteger="1" minValue="0" maxValue="3500"/>
    </cacheField>
    <cacheField name="Total" numFmtId="0">
      <sharedItems containsSemiMixedTypes="0" containsString="0" containsNumber="1" containsInteger="1" minValue="27000" maxValue="42000"/>
    </cacheField>
    <cacheField name="Field1" numFmtId="0" formula=" 0" databaseField="0"/>
    <cacheField name="Table2" numFmtId="0" formula="Salario*Ventas" databaseField="0"/>
  </cacheFields>
  <extLst>
    <ext xmlns:x14="http://schemas.microsoft.com/office/spreadsheetml/2009/9/main" uri="{725AE2AE-9491-48be-B2B4-4EB974FC3084}">
      <x14:pivotCacheDefinition pivotCacheId="10075412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x v="0"/>
    <x v="0"/>
    <n v="35000"/>
    <x v="0"/>
    <x v="0"/>
    <n v="3500"/>
    <n v="38500"/>
  </r>
  <r>
    <x v="1"/>
    <x v="1"/>
    <x v="1"/>
    <n v="28000"/>
    <x v="1"/>
    <x v="0"/>
    <n v="0"/>
    <n v="28000"/>
  </r>
  <r>
    <x v="2"/>
    <x v="2"/>
    <x v="0"/>
    <n v="32000"/>
    <x v="2"/>
    <x v="1"/>
    <n v="3200"/>
    <n v="35200"/>
  </r>
  <r>
    <x v="3"/>
    <x v="3"/>
    <x v="2"/>
    <n v="40000"/>
    <x v="1"/>
    <x v="1"/>
    <n v="0"/>
    <n v="40000"/>
  </r>
  <r>
    <x v="4"/>
    <x v="4"/>
    <x v="0"/>
    <n v="31000"/>
    <x v="3"/>
    <x v="2"/>
    <n v="0"/>
    <n v="31000"/>
  </r>
  <r>
    <x v="5"/>
    <x v="5"/>
    <x v="1"/>
    <n v="27000"/>
    <x v="1"/>
    <x v="2"/>
    <n v="0"/>
    <n v="27000"/>
  </r>
  <r>
    <x v="6"/>
    <x v="6"/>
    <x v="2"/>
    <n v="42000"/>
    <x v="1"/>
    <x v="0"/>
    <n v="0"/>
    <n v="42000"/>
  </r>
  <r>
    <x v="7"/>
    <x v="7"/>
    <x v="0"/>
    <n v="33000"/>
    <x v="4"/>
    <x v="1"/>
    <n v="3300"/>
    <n v="36300"/>
  </r>
  <r>
    <x v="8"/>
    <x v="8"/>
    <x v="0"/>
    <n v="29000"/>
    <x v="5"/>
    <x v="2"/>
    <n v="0"/>
    <n v="29000"/>
  </r>
  <r>
    <x v="9"/>
    <x v="9"/>
    <x v="2"/>
    <n v="38000"/>
    <x v="1"/>
    <x v="0"/>
    <n v="0"/>
    <n v="38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19221E9-0754-46C7-8170-5A5D192230DC}" name="Table2" cacheId="2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4:D28" firstHeaderRow="0" firstDataRow="1" firstDataCol="1" rowPageCount="1" colPageCount="1"/>
  <pivotFields count="10">
    <pivotField axis="axisPage" multipleItemSelectionAllowed="1" showAll="0">
      <items count="11">
        <item x="0"/>
        <item x="1"/>
        <item x="2"/>
        <item x="3"/>
        <item x="4"/>
        <item x="5"/>
        <item x="6"/>
        <item x="7"/>
        <item x="8"/>
        <item x="9"/>
        <item t="default"/>
      </items>
    </pivotField>
    <pivotField axis="axisRow" showAll="0">
      <items count="11">
        <item x="3"/>
        <item x="0"/>
        <item x="5"/>
        <item x="9"/>
        <item x="8"/>
        <item x="4"/>
        <item x="1"/>
        <item x="2"/>
        <item x="6"/>
        <item x="7"/>
        <item t="default"/>
      </items>
    </pivotField>
    <pivotField axis="axisRow" multipleItemSelectionAllowed="1" showAll="0">
      <items count="4">
        <item x="2"/>
        <item x="1"/>
        <item x="0"/>
        <item t="default"/>
      </items>
    </pivotField>
    <pivotField dataField="1" showAll="0"/>
    <pivotField dataField="1" showAll="0">
      <items count="7">
        <item x="1"/>
        <item x="5"/>
        <item x="3"/>
        <item x="2"/>
        <item x="0"/>
        <item x="4"/>
        <item t="default"/>
      </items>
    </pivotField>
    <pivotField axis="axisRow" multipleItemSelectionAllowed="1" showAll="0">
      <items count="4">
        <item x="0"/>
        <item x="1"/>
        <item x="2"/>
        <item t="default"/>
      </items>
    </pivotField>
    <pivotField showAll="0"/>
    <pivotField dataField="1" showAll="0"/>
    <pivotField dragToRow="0" dragToCol="0" dragToPage="0" showAll="0" defaultSubtotal="0"/>
    <pivotField dragToRow="0" dragToCol="0" dragToPage="0" showAll="0" defaultSubtotal="0"/>
  </pivotFields>
  <rowFields count="3">
    <field x="2"/>
    <field x="1"/>
    <field x="5"/>
  </rowFields>
  <rowItems count="24">
    <i>
      <x/>
    </i>
    <i r="1">
      <x/>
    </i>
    <i r="2">
      <x v="1"/>
    </i>
    <i r="1">
      <x v="3"/>
    </i>
    <i r="2">
      <x/>
    </i>
    <i r="1">
      <x v="8"/>
    </i>
    <i r="2">
      <x/>
    </i>
    <i>
      <x v="1"/>
    </i>
    <i r="1">
      <x v="2"/>
    </i>
    <i r="2">
      <x v="2"/>
    </i>
    <i r="1">
      <x v="6"/>
    </i>
    <i r="2">
      <x/>
    </i>
    <i>
      <x v="2"/>
    </i>
    <i r="1">
      <x v="1"/>
    </i>
    <i r="2">
      <x/>
    </i>
    <i r="1">
      <x v="4"/>
    </i>
    <i r="2">
      <x v="2"/>
    </i>
    <i r="1">
      <x v="5"/>
    </i>
    <i r="2">
      <x v="2"/>
    </i>
    <i r="1">
      <x v="7"/>
    </i>
    <i r="2">
      <x v="1"/>
    </i>
    <i r="1">
      <x v="9"/>
    </i>
    <i r="2">
      <x v="1"/>
    </i>
    <i t="grand">
      <x/>
    </i>
  </rowItems>
  <colFields count="1">
    <field x="-2"/>
  </colFields>
  <colItems count="3">
    <i>
      <x/>
    </i>
    <i i="1">
      <x v="1"/>
    </i>
    <i i="2">
      <x v="2"/>
    </i>
  </colItems>
  <pageFields count="1">
    <pageField fld="0" hier="-1"/>
  </pageFields>
  <dataFields count="3">
    <dataField name="Sum of Salario" fld="3" baseField="0" baseItem="0"/>
    <dataField name="Sum of Ventas" fld="4" baseField="0" baseItem="0"/>
    <dataField name="Sum of Total" fld="7" baseField="0" baseItem="0"/>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eado" xr10:uid="{C6497D95-9D63-4230-B2BA-7ED241CC77CE}" sourceName="Empleado">
  <pivotTables>
    <pivotTable tabId="2" name="Table2"/>
  </pivotTables>
  <data>
    <tabular pivotCacheId="1007541279">
      <items count="10">
        <i x="3" s="1"/>
        <i x="0" s="1"/>
        <i x="5" s="1"/>
        <i x="9" s="1"/>
        <i x="8" s="1"/>
        <i x="4" s="1"/>
        <i x="1" s="1"/>
        <i x="2"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amento" xr10:uid="{765B5D3A-FEA4-43BF-B0B4-423F494057F4}" sourceName="Departamento">
  <pivotTables>
    <pivotTable tabId="2" name="Table2"/>
  </pivotTables>
  <data>
    <tabular pivotCacheId="1007541279">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tas" xr10:uid="{D756AACD-BA54-46F4-A445-E78BC6B0ECFD}" sourceName="Ventas">
  <pivotTables>
    <pivotTable tabId="2" name="Table2"/>
  </pivotTables>
  <data>
    <tabular pivotCacheId="1007541279">
      <items count="6">
        <i x="1" s="1"/>
        <i x="5" s="1"/>
        <i x="3" s="1"/>
        <i x="2" s="1"/>
        <i x="0"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s" xr10:uid="{76509FC9-54D2-497A-8A4B-868E9202CEB9}" sourceName="Mes">
  <pivotTables>
    <pivotTable tabId="2" name="Table2"/>
  </pivotTables>
  <data>
    <tabular pivotCacheId="1007541279">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eado" xr10:uid="{7104EBCD-9323-4C6F-BC4E-60F1695CE3B7}" cache="Slicer_Empleado" caption="Empleado" startItem="2" rowHeight="273050"/>
  <slicer name="Departamento" xr10:uid="{CBD9EE54-0486-4E0F-863E-A5AABC429D83}" cache="Slicer_Departamento" caption="Departamento" rowHeight="273050"/>
  <slicer name="Ventas" xr10:uid="{3389BD4B-7DD0-4B97-8F25-57C1711F43A8}" cache="Slicer_Ventas" caption="Ventas" rowHeight="273050"/>
  <slicer name="Mes" xr10:uid="{A7F02BC2-5FFA-40A2-8E01-4817659BFE3B}" cache="Slicer_Mes" caption="Mes" rowHeight="2730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6B59B9-EA16-414D-BD6E-2887804E9E28}" name="Table_Evaluacion" displayName="Table_Evaluacion" ref="A3:H13" totalsRowShown="0" headerRowDxfId="15" dataDxfId="8" headerRowBorderDxfId="17" tableBorderDxfId="18" totalsRowBorderDxfId="16">
  <autoFilter ref="A3:H13" xr:uid="{236B59B9-EA16-414D-BD6E-2887804E9E28}"/>
  <tableColumns count="8">
    <tableColumn id="1" xr3:uid="{092A9631-0F1F-47A9-8C81-BB62C381B6EB}" name="ID" dataDxfId="14"/>
    <tableColumn id="2" xr3:uid="{0AD5D016-4E3A-44D4-AACF-7074EB11D7B4}" name="Empleado" dataDxfId="13"/>
    <tableColumn id="3" xr3:uid="{EE1A97AB-493B-4E56-946A-6B03F5397D6C}" name="Departamento" dataDxfId="12"/>
    <tableColumn id="4" xr3:uid="{0AAF5E21-9AD2-46ED-B03C-04FA041788BC}" name="Salario" dataDxfId="11"/>
    <tableColumn id="5" xr3:uid="{BCD03FFF-BB24-4D50-8F76-CEAF21D4B0EE}" name="Ventas" dataDxfId="10"/>
    <tableColumn id="6" xr3:uid="{0532B53E-780D-413F-8265-82C1BB7033F8}" name="Mes" dataDxfId="9"/>
    <tableColumn id="7" xr3:uid="{70918372-13E7-45EE-BF2A-4975CEF761F2}" name="Bono" dataDxfId="7">
      <calculatedColumnFormula>IF(E4&gt;=100000, D4*10%,0)</calculatedColumnFormula>
    </tableColumn>
    <tableColumn id="8" xr3:uid="{DBB60D70-AB66-4FF4-9436-5825F6B4C95C}" name="Total" dataDxfId="6">
      <calculatedColumnFormula>+D4+G4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Gallery">
  <a:themeElements>
    <a:clrScheme name="Gallery">
      <a:dk1>
        <a:sysClr val="windowText" lastClr="000000"/>
      </a:dk1>
      <a:lt1>
        <a:sysClr val="window" lastClr="FFFFFF"/>
      </a:lt1>
      <a:dk2>
        <a:srgbClr val="454545"/>
      </a:dk2>
      <a:lt2>
        <a:srgbClr val="DFDBD5"/>
      </a:lt2>
      <a:accent1>
        <a:srgbClr val="B71E42"/>
      </a:accent1>
      <a:accent2>
        <a:srgbClr val="DE478E"/>
      </a:accent2>
      <a:accent3>
        <a:srgbClr val="BC72F0"/>
      </a:accent3>
      <a:accent4>
        <a:srgbClr val="795FAF"/>
      </a:accent4>
      <a:accent5>
        <a:srgbClr val="586EA6"/>
      </a:accent5>
      <a:accent6>
        <a:srgbClr val="6892A0"/>
      </a:accent6>
      <a:hlink>
        <a:srgbClr val="FA2B5C"/>
      </a:hlink>
      <a:folHlink>
        <a:srgbClr val="BC658E"/>
      </a:folHlink>
    </a:clrScheme>
    <a:fontScheme name="Gallery">
      <a:majorFont>
        <a:latin typeface="Gill Sans MT" panose="020B0502020104020203"/>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Gill Sans MT" panose="020B0502020104020203"/>
        <a:ea typeface=""/>
        <a:cs typeface=""/>
        <a:font script="Jpan" typeface="游ゴシック"/>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Gallery">
      <a:fillStyleLst>
        <a:solidFill>
          <a:schemeClr val="phClr"/>
        </a:solidFill>
        <a:gradFill rotWithShape="1">
          <a:gsLst>
            <a:gs pos="0">
              <a:schemeClr val="phClr">
                <a:tint val="54000"/>
                <a:alpha val="100000"/>
                <a:satMod val="105000"/>
                <a:lumMod val="110000"/>
              </a:schemeClr>
            </a:gs>
            <a:gs pos="100000">
              <a:schemeClr val="phClr">
                <a:tint val="78000"/>
                <a:alpha val="92000"/>
                <a:satMod val="109000"/>
                <a:lumMod val="100000"/>
              </a:schemeClr>
            </a:gs>
          </a:gsLst>
          <a:lin ang="5400000" scaled="0"/>
        </a:gradFill>
        <a:gradFill rotWithShape="1">
          <a:gsLst>
            <a:gs pos="0">
              <a:schemeClr val="phClr">
                <a:tint val="98000"/>
                <a:satMod val="110000"/>
                <a:lumMod val="104000"/>
              </a:schemeClr>
            </a:gs>
            <a:gs pos="69000">
              <a:schemeClr val="phClr">
                <a:shade val="88000"/>
                <a:satMod val="130000"/>
                <a:lumMod val="92000"/>
              </a:schemeClr>
            </a:gs>
            <a:gs pos="100000">
              <a:schemeClr val="phClr">
                <a:shade val="78000"/>
                <a:satMod val="130000"/>
                <a:lumMod val="92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effectStyle>
        <a:effectStyle>
          <a:effectLst>
            <a:outerShdw blurRad="50800" dist="50800" dir="5400000" sx="96000" sy="96000" rotWithShape="0">
              <a:srgbClr val="000000">
                <a:alpha val="48000"/>
              </a:srgbClr>
            </a:outerShdw>
          </a:effectLst>
          <a:scene3d>
            <a:camera prst="orthographicFront">
              <a:rot lat="0" lon="0" rev="0"/>
            </a:camera>
            <a:lightRig rig="balanced" dir="t">
              <a:rot lat="0" lon="0" rev="1080000"/>
            </a:lightRig>
          </a:scene3d>
          <a:sp3d>
            <a:bevelT w="38100" h="12700" prst="softRound"/>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Gallery" id="{BBFCD31E-59A1-489D-B089-A3EAD7CAE12E}" vid="{F5E91637-A7B6-4E27-B710-77DA7014EE1E}"/>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21" Type="http://schemas.openxmlformats.org/officeDocument/2006/relationships/ctrlProp" Target="../ctrlProps/ctrlProp19.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19" Type="http://schemas.openxmlformats.org/officeDocument/2006/relationships/ctrlProp" Target="../ctrlProps/ctrlProp17.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21D83-EEF4-4E5D-9431-910FC4E913D3}">
  <dimension ref="A2:D28"/>
  <sheetViews>
    <sheetView tabSelected="1" topLeftCell="B1" zoomScale="82" zoomScaleNormal="82" workbookViewId="0">
      <selection activeCell="Q23" sqref="Q23"/>
    </sheetView>
  </sheetViews>
  <sheetFormatPr defaultRowHeight="18" x14ac:dyDescent="0.5"/>
  <cols>
    <col min="1" max="1" width="15.109375" bestFit="1" customWidth="1"/>
    <col min="2" max="2" width="15.44140625" bestFit="1" customWidth="1"/>
    <col min="3" max="3" width="15.109375" bestFit="1" customWidth="1"/>
    <col min="4" max="4" width="13.5546875" bestFit="1" customWidth="1"/>
    <col min="5" max="5" width="19.77734375" customWidth="1"/>
    <col min="6" max="6" width="13.44140625" bestFit="1" customWidth="1"/>
    <col min="7" max="7" width="7.6640625" bestFit="1" customWidth="1"/>
    <col min="8" max="8" width="13.44140625" bestFit="1" customWidth="1"/>
    <col min="9" max="9" width="7" bestFit="1" customWidth="1"/>
    <col min="10" max="10" width="7.5546875" bestFit="1" customWidth="1"/>
    <col min="11" max="11" width="14.109375" bestFit="1" customWidth="1"/>
    <col min="12" max="12" width="7" bestFit="1" customWidth="1"/>
    <col min="13" max="13" width="7.5546875" bestFit="1" customWidth="1"/>
    <col min="14" max="14" width="14.88671875" bestFit="1" customWidth="1"/>
    <col min="15" max="15" width="7" bestFit="1" customWidth="1"/>
    <col min="16" max="16" width="12.33203125" bestFit="1" customWidth="1"/>
    <col min="17" max="17" width="20.77734375" bestFit="1" customWidth="1"/>
    <col min="18" max="18" width="20.6640625" bestFit="1" customWidth="1"/>
    <col min="19" max="19" width="19.21875" bestFit="1" customWidth="1"/>
    <col min="20" max="20" width="19.88671875" bestFit="1" customWidth="1"/>
    <col min="21" max="21" width="20.6640625" bestFit="1" customWidth="1"/>
  </cols>
  <sheetData>
    <row r="2" spans="1:4" x14ac:dyDescent="0.5">
      <c r="A2" s="9" t="s">
        <v>0</v>
      </c>
      <c r="B2" t="s">
        <v>28</v>
      </c>
    </row>
    <row r="4" spans="1:4" x14ac:dyDescent="0.5">
      <c r="A4" s="9" t="s">
        <v>24</v>
      </c>
      <c r="B4" t="s">
        <v>26</v>
      </c>
      <c r="C4" t="s">
        <v>27</v>
      </c>
      <c r="D4" t="s">
        <v>29</v>
      </c>
    </row>
    <row r="5" spans="1:4" x14ac:dyDescent="0.5">
      <c r="A5" s="6" t="s">
        <v>13</v>
      </c>
      <c r="B5" s="12">
        <v>120000</v>
      </c>
      <c r="C5" s="12">
        <v>0</v>
      </c>
      <c r="D5" s="12">
        <v>120000</v>
      </c>
    </row>
    <row r="6" spans="1:4" x14ac:dyDescent="0.5">
      <c r="A6" s="10" t="s">
        <v>12</v>
      </c>
      <c r="B6" s="12">
        <v>40000</v>
      </c>
      <c r="C6" s="12">
        <v>0</v>
      </c>
      <c r="D6" s="12">
        <v>40000</v>
      </c>
    </row>
    <row r="7" spans="1:4" x14ac:dyDescent="0.5">
      <c r="A7" s="11" t="s">
        <v>11</v>
      </c>
      <c r="B7" s="12">
        <v>40000</v>
      </c>
      <c r="C7" s="12">
        <v>0</v>
      </c>
      <c r="D7" s="12">
        <v>40000</v>
      </c>
    </row>
    <row r="8" spans="1:4" x14ac:dyDescent="0.5">
      <c r="A8" s="10" t="s">
        <v>20</v>
      </c>
      <c r="B8" s="12">
        <v>38000</v>
      </c>
      <c r="C8" s="12">
        <v>0</v>
      </c>
      <c r="D8" s="12">
        <v>38000</v>
      </c>
    </row>
    <row r="9" spans="1:4" x14ac:dyDescent="0.5">
      <c r="A9" s="11" t="s">
        <v>7</v>
      </c>
      <c r="B9" s="12">
        <v>38000</v>
      </c>
      <c r="C9" s="12">
        <v>0</v>
      </c>
      <c r="D9" s="12">
        <v>38000</v>
      </c>
    </row>
    <row r="10" spans="1:4" x14ac:dyDescent="0.5">
      <c r="A10" s="10" t="s">
        <v>17</v>
      </c>
      <c r="B10" s="12">
        <v>42000</v>
      </c>
      <c r="C10" s="12">
        <v>0</v>
      </c>
      <c r="D10" s="12">
        <v>42000</v>
      </c>
    </row>
    <row r="11" spans="1:4" x14ac:dyDescent="0.5">
      <c r="A11" s="11" t="s">
        <v>7</v>
      </c>
      <c r="B11" s="12">
        <v>42000</v>
      </c>
      <c r="C11" s="12">
        <v>0</v>
      </c>
      <c r="D11" s="12">
        <v>42000</v>
      </c>
    </row>
    <row r="12" spans="1:4" x14ac:dyDescent="0.5">
      <c r="A12" s="6" t="s">
        <v>9</v>
      </c>
      <c r="B12" s="12">
        <v>55000</v>
      </c>
      <c r="C12" s="12">
        <v>0</v>
      </c>
      <c r="D12" s="12">
        <v>55000</v>
      </c>
    </row>
    <row r="13" spans="1:4" x14ac:dyDescent="0.5">
      <c r="A13" s="10" t="s">
        <v>16</v>
      </c>
      <c r="B13" s="12">
        <v>27000</v>
      </c>
      <c r="C13" s="12">
        <v>0</v>
      </c>
      <c r="D13" s="12">
        <v>27000</v>
      </c>
    </row>
    <row r="14" spans="1:4" x14ac:dyDescent="0.5">
      <c r="A14" s="11" t="s">
        <v>15</v>
      </c>
      <c r="B14" s="12">
        <v>27000</v>
      </c>
      <c r="C14" s="12">
        <v>0</v>
      </c>
      <c r="D14" s="12">
        <v>27000</v>
      </c>
    </row>
    <row r="15" spans="1:4" x14ac:dyDescent="0.5">
      <c r="A15" s="10" t="s">
        <v>8</v>
      </c>
      <c r="B15" s="12">
        <v>28000</v>
      </c>
      <c r="C15" s="12">
        <v>0</v>
      </c>
      <c r="D15" s="12">
        <v>28000</v>
      </c>
    </row>
    <row r="16" spans="1:4" x14ac:dyDescent="0.5">
      <c r="A16" s="11" t="s">
        <v>7</v>
      </c>
      <c r="B16" s="12">
        <v>28000</v>
      </c>
      <c r="C16" s="12">
        <v>0</v>
      </c>
      <c r="D16" s="12">
        <v>28000</v>
      </c>
    </row>
    <row r="17" spans="1:4" x14ac:dyDescent="0.5">
      <c r="A17" s="6" t="s">
        <v>4</v>
      </c>
      <c r="B17" s="12">
        <v>160000</v>
      </c>
      <c r="C17" s="12">
        <v>631000</v>
      </c>
      <c r="D17" s="12">
        <v>170000</v>
      </c>
    </row>
    <row r="18" spans="1:4" x14ac:dyDescent="0.5">
      <c r="A18" s="10" t="s">
        <v>6</v>
      </c>
      <c r="B18" s="12">
        <v>35000</v>
      </c>
      <c r="C18" s="12">
        <v>150000</v>
      </c>
      <c r="D18" s="12">
        <v>38500</v>
      </c>
    </row>
    <row r="19" spans="1:4" x14ac:dyDescent="0.5">
      <c r="A19" s="11" t="s">
        <v>7</v>
      </c>
      <c r="B19" s="12">
        <v>35000</v>
      </c>
      <c r="C19" s="12">
        <v>150000</v>
      </c>
      <c r="D19" s="12">
        <v>38500</v>
      </c>
    </row>
    <row r="20" spans="1:4" x14ac:dyDescent="0.5">
      <c r="A20" s="10" t="s">
        <v>19</v>
      </c>
      <c r="B20" s="12">
        <v>29000</v>
      </c>
      <c r="C20" s="12">
        <v>88000</v>
      </c>
      <c r="D20" s="12">
        <v>29000</v>
      </c>
    </row>
    <row r="21" spans="1:4" x14ac:dyDescent="0.5">
      <c r="A21" s="11" t="s">
        <v>15</v>
      </c>
      <c r="B21" s="12">
        <v>29000</v>
      </c>
      <c r="C21" s="12">
        <v>88000</v>
      </c>
      <c r="D21" s="12">
        <v>29000</v>
      </c>
    </row>
    <row r="22" spans="1:4" x14ac:dyDescent="0.5">
      <c r="A22" s="10" t="s">
        <v>14</v>
      </c>
      <c r="B22" s="12">
        <v>31000</v>
      </c>
      <c r="C22" s="12">
        <v>98000</v>
      </c>
      <c r="D22" s="12">
        <v>31000</v>
      </c>
    </row>
    <row r="23" spans="1:4" x14ac:dyDescent="0.5">
      <c r="A23" s="11" t="s">
        <v>15</v>
      </c>
      <c r="B23" s="12">
        <v>31000</v>
      </c>
      <c r="C23" s="12">
        <v>98000</v>
      </c>
      <c r="D23" s="12">
        <v>31000</v>
      </c>
    </row>
    <row r="24" spans="1:4" x14ac:dyDescent="0.5">
      <c r="A24" s="10" t="s">
        <v>10</v>
      </c>
      <c r="B24" s="12">
        <v>32000</v>
      </c>
      <c r="C24" s="12">
        <v>120000</v>
      </c>
      <c r="D24" s="12">
        <v>35200</v>
      </c>
    </row>
    <row r="25" spans="1:4" x14ac:dyDescent="0.5">
      <c r="A25" s="11" t="s">
        <v>11</v>
      </c>
      <c r="B25" s="12">
        <v>32000</v>
      </c>
      <c r="C25" s="12">
        <v>120000</v>
      </c>
      <c r="D25" s="12">
        <v>35200</v>
      </c>
    </row>
    <row r="26" spans="1:4" x14ac:dyDescent="0.5">
      <c r="A26" s="10" t="s">
        <v>18</v>
      </c>
      <c r="B26" s="12">
        <v>33000</v>
      </c>
      <c r="C26" s="12">
        <v>175000</v>
      </c>
      <c r="D26" s="12">
        <v>36300</v>
      </c>
    </row>
    <row r="27" spans="1:4" x14ac:dyDescent="0.5">
      <c r="A27" s="11" t="s">
        <v>11</v>
      </c>
      <c r="B27" s="12">
        <v>33000</v>
      </c>
      <c r="C27" s="12">
        <v>175000</v>
      </c>
      <c r="D27" s="12">
        <v>36300</v>
      </c>
    </row>
    <row r="28" spans="1:4" x14ac:dyDescent="0.5">
      <c r="A28" s="6" t="s">
        <v>25</v>
      </c>
      <c r="B28" s="12">
        <v>335000</v>
      </c>
      <c r="C28" s="12">
        <v>631000</v>
      </c>
      <c r="D28" s="12">
        <v>345000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15ACB-3582-44C1-8C81-3B234887E4C8}">
  <dimension ref="A1:K18"/>
  <sheetViews>
    <sheetView workbookViewId="0">
      <selection activeCell="J7" sqref="J7"/>
    </sheetView>
  </sheetViews>
  <sheetFormatPr defaultRowHeight="18" x14ac:dyDescent="0.5"/>
  <cols>
    <col min="1" max="1" width="5.5546875" style="6" bestFit="1" customWidth="1"/>
    <col min="2" max="2" width="14.6640625" bestFit="1" customWidth="1"/>
    <col min="3" max="3" width="19" bestFit="1" customWidth="1"/>
    <col min="4" max="4" width="12" bestFit="1" customWidth="1"/>
    <col min="5" max="5" width="12" style="5" bestFit="1" customWidth="1"/>
    <col min="6" max="6" width="9.44140625" bestFit="1" customWidth="1"/>
    <col min="7" max="7" width="10.21875" bestFit="1" customWidth="1"/>
    <col min="8" max="8" width="10.44140625" bestFit="1" customWidth="1"/>
    <col min="10" max="10" width="19.6640625" customWidth="1"/>
    <col min="11" max="11" width="4" customWidth="1"/>
  </cols>
  <sheetData>
    <row r="1" spans="1:11" ht="19.8" x14ac:dyDescent="0.5">
      <c r="A1" s="17" t="s">
        <v>23</v>
      </c>
      <c r="B1" s="17"/>
      <c r="C1" s="17"/>
      <c r="D1" s="17"/>
      <c r="E1" s="17"/>
    </row>
    <row r="3" spans="1:11" x14ac:dyDescent="0.5">
      <c r="A3" s="14" t="s">
        <v>0</v>
      </c>
      <c r="B3" s="15" t="s">
        <v>1</v>
      </c>
      <c r="C3" s="15" t="s">
        <v>2</v>
      </c>
      <c r="D3" s="15" t="s">
        <v>3</v>
      </c>
      <c r="E3" s="15" t="s">
        <v>4</v>
      </c>
      <c r="F3" s="15" t="s">
        <v>5</v>
      </c>
      <c r="G3" s="15" t="s">
        <v>21</v>
      </c>
      <c r="H3" s="16" t="s">
        <v>22</v>
      </c>
      <c r="I3" s="2"/>
      <c r="J3" s="3"/>
    </row>
    <row r="4" spans="1:11" x14ac:dyDescent="0.5">
      <c r="A4" s="18">
        <v>1</v>
      </c>
      <c r="B4" s="19" t="s">
        <v>6</v>
      </c>
      <c r="C4" s="19" t="s">
        <v>4</v>
      </c>
      <c r="D4" s="19">
        <v>35000</v>
      </c>
      <c r="E4" s="19">
        <v>150000</v>
      </c>
      <c r="F4" s="19" t="s">
        <v>7</v>
      </c>
      <c r="G4" s="19">
        <f t="shared" ref="G4:G13" si="0">IF(E4&gt;=100000, D4*10%,0)</f>
        <v>3500</v>
      </c>
      <c r="H4" s="20">
        <f t="shared" ref="H4:H13" si="1">+D4+G4</f>
        <v>38500</v>
      </c>
      <c r="J4" s="8"/>
    </row>
    <row r="5" spans="1:11" x14ac:dyDescent="0.5">
      <c r="A5" s="18">
        <v>2</v>
      </c>
      <c r="B5" s="19" t="s">
        <v>8</v>
      </c>
      <c r="C5" s="19" t="s">
        <v>9</v>
      </c>
      <c r="D5" s="19">
        <v>28000</v>
      </c>
      <c r="E5" s="19">
        <v>0</v>
      </c>
      <c r="F5" s="19" t="s">
        <v>7</v>
      </c>
      <c r="G5" s="19">
        <f t="shared" si="0"/>
        <v>0</v>
      </c>
      <c r="H5" s="20">
        <f t="shared" si="1"/>
        <v>28000</v>
      </c>
      <c r="J5" s="24">
        <f>COUNTIF(C4:C13,"Ventas")</f>
        <v>5</v>
      </c>
      <c r="K5" s="13" t="s">
        <v>30</v>
      </c>
    </row>
    <row r="6" spans="1:11" x14ac:dyDescent="0.5">
      <c r="A6" s="18">
        <v>3</v>
      </c>
      <c r="B6" s="19" t="s">
        <v>10</v>
      </c>
      <c r="C6" s="19" t="s">
        <v>4</v>
      </c>
      <c r="D6" s="19">
        <v>32000</v>
      </c>
      <c r="E6" s="19">
        <v>120000</v>
      </c>
      <c r="F6" s="19" t="s">
        <v>11</v>
      </c>
      <c r="G6" s="19">
        <f t="shared" si="0"/>
        <v>3200</v>
      </c>
      <c r="H6" s="20">
        <f t="shared" si="1"/>
        <v>35200</v>
      </c>
      <c r="J6" s="23">
        <f>SUMIF(C4:C13,"Ventas",E4:E13)</f>
        <v>631000</v>
      </c>
      <c r="K6" s="13" t="s">
        <v>31</v>
      </c>
    </row>
    <row r="7" spans="1:11" x14ac:dyDescent="0.5">
      <c r="A7" s="18">
        <v>4</v>
      </c>
      <c r="B7" s="19" t="s">
        <v>12</v>
      </c>
      <c r="C7" s="19" t="s">
        <v>13</v>
      </c>
      <c r="D7" s="19">
        <v>40000</v>
      </c>
      <c r="E7" s="19">
        <v>0</v>
      </c>
      <c r="F7" s="19" t="s">
        <v>11</v>
      </c>
      <c r="G7" s="19">
        <f t="shared" si="0"/>
        <v>0</v>
      </c>
      <c r="H7" s="20">
        <f t="shared" si="1"/>
        <v>40000</v>
      </c>
      <c r="J7" s="25">
        <f>AVERAGE(D4:D13)</f>
        <v>33500</v>
      </c>
      <c r="K7" s="13" t="s">
        <v>32</v>
      </c>
    </row>
    <row r="8" spans="1:11" x14ac:dyDescent="0.5">
      <c r="A8" s="18">
        <v>5</v>
      </c>
      <c r="B8" s="19" t="s">
        <v>14</v>
      </c>
      <c r="C8" s="19" t="s">
        <v>4</v>
      </c>
      <c r="D8" s="19">
        <v>31000</v>
      </c>
      <c r="E8" s="19">
        <v>98000</v>
      </c>
      <c r="F8" s="19" t="s">
        <v>15</v>
      </c>
      <c r="G8" s="19">
        <f t="shared" si="0"/>
        <v>0</v>
      </c>
      <c r="H8" s="20">
        <f t="shared" si="1"/>
        <v>31000</v>
      </c>
    </row>
    <row r="9" spans="1:11" x14ac:dyDescent="0.5">
      <c r="A9" s="18">
        <v>6</v>
      </c>
      <c r="B9" s="19" t="s">
        <v>16</v>
      </c>
      <c r="C9" s="19" t="s">
        <v>9</v>
      </c>
      <c r="D9" s="19">
        <v>27000</v>
      </c>
      <c r="E9" s="19">
        <v>0</v>
      </c>
      <c r="F9" s="19" t="s">
        <v>15</v>
      </c>
      <c r="G9" s="19">
        <f t="shared" si="0"/>
        <v>0</v>
      </c>
      <c r="H9" s="20">
        <f t="shared" si="1"/>
        <v>27000</v>
      </c>
    </row>
    <row r="10" spans="1:11" x14ac:dyDescent="0.5">
      <c r="A10" s="18">
        <v>7</v>
      </c>
      <c r="B10" s="19" t="s">
        <v>17</v>
      </c>
      <c r="C10" s="19" t="s">
        <v>13</v>
      </c>
      <c r="D10" s="19">
        <v>42000</v>
      </c>
      <c r="E10" s="19">
        <v>0</v>
      </c>
      <c r="F10" s="19" t="s">
        <v>7</v>
      </c>
      <c r="G10" s="19">
        <f t="shared" si="0"/>
        <v>0</v>
      </c>
      <c r="H10" s="20">
        <f t="shared" si="1"/>
        <v>42000</v>
      </c>
    </row>
    <row r="11" spans="1:11" x14ac:dyDescent="0.5">
      <c r="A11" s="18">
        <v>8</v>
      </c>
      <c r="B11" s="19" t="s">
        <v>18</v>
      </c>
      <c r="C11" s="19" t="s">
        <v>4</v>
      </c>
      <c r="D11" s="19">
        <v>33000</v>
      </c>
      <c r="E11" s="19">
        <v>175000</v>
      </c>
      <c r="F11" s="19" t="s">
        <v>11</v>
      </c>
      <c r="G11" s="19">
        <f t="shared" si="0"/>
        <v>3300</v>
      </c>
      <c r="H11" s="20">
        <f t="shared" si="1"/>
        <v>36300</v>
      </c>
    </row>
    <row r="12" spans="1:11" x14ac:dyDescent="0.5">
      <c r="A12" s="18">
        <v>9</v>
      </c>
      <c r="B12" s="19" t="s">
        <v>19</v>
      </c>
      <c r="C12" s="19" t="s">
        <v>4</v>
      </c>
      <c r="D12" s="19">
        <v>29000</v>
      </c>
      <c r="E12" s="19">
        <v>88000</v>
      </c>
      <c r="F12" s="19" t="s">
        <v>15</v>
      </c>
      <c r="G12" s="19">
        <f t="shared" si="0"/>
        <v>0</v>
      </c>
      <c r="H12" s="20">
        <f t="shared" si="1"/>
        <v>29000</v>
      </c>
    </row>
    <row r="13" spans="1:11" x14ac:dyDescent="0.5">
      <c r="A13" s="21">
        <v>10</v>
      </c>
      <c r="B13" s="22" t="s">
        <v>20</v>
      </c>
      <c r="C13" s="22" t="s">
        <v>13</v>
      </c>
      <c r="D13" s="22">
        <v>38000</v>
      </c>
      <c r="E13" s="22">
        <v>0</v>
      </c>
      <c r="F13" s="22" t="s">
        <v>7</v>
      </c>
      <c r="G13" s="19">
        <f t="shared" si="0"/>
        <v>0</v>
      </c>
      <c r="H13" s="20">
        <f t="shared" si="1"/>
        <v>38000</v>
      </c>
    </row>
    <row r="14" spans="1:11" x14ac:dyDescent="0.5">
      <c r="A14" s="7"/>
      <c r="B14" s="1"/>
      <c r="C14" s="1"/>
      <c r="D14" s="1"/>
      <c r="E14" s="4"/>
      <c r="F14" s="1"/>
      <c r="G14" s="1"/>
      <c r="H14" s="1"/>
    </row>
    <row r="15" spans="1:11" x14ac:dyDescent="0.5">
      <c r="A15" s="7"/>
      <c r="B15" s="1"/>
      <c r="C15" s="1"/>
      <c r="D15" s="1"/>
      <c r="E15" s="4"/>
      <c r="F15" s="1"/>
      <c r="G15" s="1"/>
      <c r="H15" s="1"/>
    </row>
    <row r="16" spans="1:11" x14ac:dyDescent="0.5">
      <c r="A16" s="7"/>
      <c r="B16" s="1"/>
      <c r="C16" s="1"/>
      <c r="D16" s="1"/>
      <c r="E16" s="4"/>
      <c r="F16" s="1"/>
      <c r="G16" s="1"/>
      <c r="H16" s="1"/>
    </row>
    <row r="17" spans="1:8" x14ac:dyDescent="0.5">
      <c r="A17" s="7"/>
      <c r="B17" s="1"/>
      <c r="C17" s="1"/>
      <c r="D17" s="1"/>
      <c r="E17" s="4"/>
      <c r="F17" s="1"/>
      <c r="G17" s="1"/>
      <c r="H17" s="1"/>
    </row>
    <row r="18" spans="1:8" x14ac:dyDescent="0.5">
      <c r="A18" s="7"/>
      <c r="B18" s="1"/>
      <c r="C18" s="1"/>
      <c r="D18" s="1"/>
      <c r="E18" s="4"/>
      <c r="F18" s="1"/>
      <c r="G18" s="1"/>
      <c r="H18" s="1"/>
    </row>
  </sheetData>
  <mergeCells count="1">
    <mergeCell ref="A1:E1"/>
  </mergeCells>
  <conditionalFormatting sqref="E4:E13">
    <cfRule type="cellIs" dxfId="3" priority="3" operator="greaterThan">
      <formula>100000</formula>
    </cfRule>
    <cfRule type="cellIs" dxfId="4" priority="2" operator="between">
      <formula>50000</formula>
      <formula>100000</formula>
    </cfRule>
    <cfRule type="cellIs" dxfId="2" priority="1" operator="lessThan">
      <formula>50000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26" r:id="rId4" name="Button 2">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27" r:id="rId5" name="Button 3">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28" r:id="rId6" name="Button 4">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29" r:id="rId7" name="Button 5">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0" r:id="rId8" name="Button 6">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1" r:id="rId9" name="Button 7">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2" r:id="rId10" name="Button 8">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3" r:id="rId11" name="Button 9">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4" r:id="rId12" name="Button 10">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5" r:id="rId13" name="Button 11">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6" r:id="rId14" name="Button 12">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7" r:id="rId15" name="Button 13">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8" r:id="rId16" name="Button 14">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39" r:id="rId17" name="Button 15">
              <controlPr defaultSize="0" print="0" autoFill="0" autoPict="0" macro="[0]!Module1.Table_Evaluacion">
                <anchor moveWithCells="1" sizeWithCells="1">
                  <from>
                    <xdr:col>9</xdr:col>
                    <xdr:colOff>53340</xdr:colOff>
                    <xdr:row>8</xdr:row>
                    <xdr:rowOff>182880</xdr:rowOff>
                  </from>
                  <to>
                    <xdr:col>11</xdr:col>
                    <xdr:colOff>0</xdr:colOff>
                    <xdr:row>11</xdr:row>
                    <xdr:rowOff>175260</xdr:rowOff>
                  </to>
                </anchor>
              </controlPr>
            </control>
          </mc:Choice>
        </mc:AlternateContent>
        <mc:AlternateContent xmlns:mc="http://schemas.openxmlformats.org/markup-compatibility/2006">
          <mc:Choice Requires="x14">
            <control shapeId="1042" r:id="rId18" name="Button 18">
              <controlPr defaultSize="0" print="0" autoFill="0" autoPict="0" macro="[0]!Module1.Table_Evaluacion">
                <anchor moveWithCells="1" sizeWithCells="1">
                  <from>
                    <xdr:col>9</xdr:col>
                    <xdr:colOff>53340</xdr:colOff>
                    <xdr:row>8</xdr:row>
                    <xdr:rowOff>182880</xdr:rowOff>
                  </from>
                  <to>
                    <xdr:col>10</xdr:col>
                    <xdr:colOff>609600</xdr:colOff>
                    <xdr:row>11</xdr:row>
                    <xdr:rowOff>175260</xdr:rowOff>
                  </to>
                </anchor>
              </controlPr>
            </control>
          </mc:Choice>
        </mc:AlternateContent>
        <mc:AlternateContent xmlns:mc="http://schemas.openxmlformats.org/markup-compatibility/2006">
          <mc:Choice Requires="x14">
            <control shapeId="1043" r:id="rId19" name="Button 19">
              <controlPr defaultSize="0" print="0" autoFill="0" autoPict="0" macro="[0]!Module1.Table_Evaluacion">
                <anchor moveWithCells="1" sizeWithCells="1">
                  <from>
                    <xdr:col>9</xdr:col>
                    <xdr:colOff>53340</xdr:colOff>
                    <xdr:row>8</xdr:row>
                    <xdr:rowOff>182880</xdr:rowOff>
                  </from>
                  <to>
                    <xdr:col>10</xdr:col>
                    <xdr:colOff>609600</xdr:colOff>
                    <xdr:row>11</xdr:row>
                    <xdr:rowOff>175260</xdr:rowOff>
                  </to>
                </anchor>
              </controlPr>
            </control>
          </mc:Choice>
        </mc:AlternateContent>
        <mc:AlternateContent xmlns:mc="http://schemas.openxmlformats.org/markup-compatibility/2006">
          <mc:Choice Requires="x14">
            <control shapeId="1044" r:id="rId20" name="Button 20">
              <controlPr defaultSize="0" print="0" autoFill="0" autoPict="0" macro="[0]!Module1.Table_Evaluacion">
                <anchor moveWithCells="1" sizeWithCells="1">
                  <from>
                    <xdr:col>9</xdr:col>
                    <xdr:colOff>53340</xdr:colOff>
                    <xdr:row>8</xdr:row>
                    <xdr:rowOff>182880</xdr:rowOff>
                  </from>
                  <to>
                    <xdr:col>10</xdr:col>
                    <xdr:colOff>609600</xdr:colOff>
                    <xdr:row>11</xdr:row>
                    <xdr:rowOff>175260</xdr:rowOff>
                  </to>
                </anchor>
              </controlPr>
            </control>
          </mc:Choice>
        </mc:AlternateContent>
        <mc:AlternateContent xmlns:mc="http://schemas.openxmlformats.org/markup-compatibility/2006">
          <mc:Choice Requires="x14">
            <control shapeId="1045" r:id="rId21" name="Button 21">
              <controlPr defaultSize="0" print="0" autoFill="0" autoPict="0" macro="[0]!Module1.Table_Evaluacion">
                <anchor moveWithCells="1" sizeWithCells="1">
                  <from>
                    <xdr:col>9</xdr:col>
                    <xdr:colOff>53340</xdr:colOff>
                    <xdr:row>8</xdr:row>
                    <xdr:rowOff>182880</xdr:rowOff>
                  </from>
                  <to>
                    <xdr:col>10</xdr:col>
                    <xdr:colOff>609600</xdr:colOff>
                    <xdr:row>11</xdr:row>
                    <xdr:rowOff>175260</xdr:rowOff>
                  </to>
                </anchor>
              </controlPr>
            </control>
          </mc:Choice>
        </mc:AlternateContent>
      </controls>
    </mc:Choice>
  </mc:AlternateContent>
  <tableParts count="1">
    <tablePart r:id="rId2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Resumen de Sistema </vt:lpstr>
      <vt:lpstr>Sistema de Evaluacion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Edwin Villar</dc:creator>
  <cp:lastModifiedBy>Edwin Villar</cp:lastModifiedBy>
  <dcterms:created xsi:type="dcterms:W3CDTF">2026-06-24T01:30:59Z</dcterms:created>
  <dcterms:modified xsi:type="dcterms:W3CDTF">2026-06-24T03:09:11Z</dcterms:modified>
</cp:coreProperties>
</file>