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1" documentId="8_{A21CE433-5220-4B3A-AD58-F26396C2A12B}" xr6:coauthVersionLast="47" xr6:coauthVersionMax="47" xr10:uidLastSave="{956B819D-BA51-486F-BCA5-34B04A725FD9}"/>
  <bookViews>
    <workbookView xWindow="-36" yWindow="60" windowWidth="11784" windowHeight="12264" xr2:uid="{638C54D4-C6BD-4367-9E1B-9832D4FF1947}"/>
  </bookViews>
  <sheets>
    <sheet name="datos_ventas" sheetId="4" r:id="rId1"/>
    <sheet name="Prevision." sheetId="6" r:id="rId2"/>
    <sheet name="Datos" sheetId="5" r:id="rId3"/>
    <sheet name="Herramientas" sheetId="3" r:id="rId4"/>
  </sheets>
  <definedNames>
    <definedName name="DatosExternos_1" localSheetId="0" hidden="1">datos_ventas!$A$4:$D$12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A14" i="5"/>
  <c r="B12" i="5"/>
  <c r="A12" i="5"/>
  <c r="B10" i="5"/>
  <c r="A10" i="5"/>
  <c r="B8" i="5"/>
  <c r="A8" i="5"/>
  <c r="B6" i="5"/>
  <c r="A6" i="5"/>
  <c r="B4" i="5"/>
  <c r="A4" i="5"/>
  <c r="C8" i="6"/>
  <c r="C9" i="6"/>
  <c r="D8" i="6"/>
  <c r="E9" i="6"/>
  <c r="D9" i="6"/>
  <c r="E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FD031D-B38F-4DF0-8120-5712AADA2936}" keepAlive="1" name="Consulta - datos_ventas" description="Conexión a la consulta 'datos_ventas' en el libro." type="5" refreshedVersion="8" background="1" saveData="1">
    <dbPr connection="Provider=Microsoft.Mashup.OleDb.1;Data Source=$Workbook$;Location=datos_ventas;Extended Properties=&quot;&quot;" command="SELECT * FROM [datos_ventas]"/>
  </connection>
</connections>
</file>

<file path=xl/sharedStrings.xml><?xml version="1.0" encoding="utf-8"?>
<sst xmlns="http://schemas.openxmlformats.org/spreadsheetml/2006/main" count="44" uniqueCount="26">
  <si>
    <t>Vendedor</t>
  </si>
  <si>
    <t>Region</t>
  </si>
  <si>
    <t>Ventas</t>
  </si>
  <si>
    <t>Mes</t>
  </si>
  <si>
    <t>Carlos</t>
  </si>
  <si>
    <t>Norte</t>
  </si>
  <si>
    <t>Enero</t>
  </si>
  <si>
    <t>Maria</t>
  </si>
  <si>
    <t>Sur</t>
  </si>
  <si>
    <t>Pedro</t>
  </si>
  <si>
    <t>Este</t>
  </si>
  <si>
    <t>Febrero</t>
  </si>
  <si>
    <t>Ana</t>
  </si>
  <si>
    <t>Oeste</t>
  </si>
  <si>
    <t>Luis</t>
  </si>
  <si>
    <t>Marzo</t>
  </si>
  <si>
    <t>Carmen</t>
  </si>
  <si>
    <t>Roberto</t>
  </si>
  <si>
    <t>Abril</t>
  </si>
  <si>
    <t>Sofia</t>
  </si>
  <si>
    <t>Fecha</t>
  </si>
  <si>
    <t>Previsión(Ventas)</t>
  </si>
  <si>
    <t>Límite de confianza inferior(Ventas)</t>
  </si>
  <si>
    <t>Límite de confianza superior(Ventas)</t>
  </si>
  <si>
    <r>
      <t xml:space="preserve">Un gerente te pregunta: </t>
    </r>
    <r>
      <rPr>
        <i/>
        <sz val="11"/>
        <color theme="1"/>
        <rFont val="Arial"/>
        <family val="2"/>
        <scheme val="minor"/>
      </rPr>
      <t>"¿Cuánto vamos a vender en Agosto?"</t>
    </r>
  </si>
  <si>
    <r>
      <t xml:space="preserve">Tú respondes: </t>
    </r>
    <r>
      <rPr>
        <i/>
        <sz val="11"/>
        <color theme="1"/>
        <rFont val="Arial"/>
        <family val="2"/>
        <scheme val="minor"/>
      </rPr>
      <t>"Basado en la tendencia histórica, Excel proyecta aproximadamente $214,940"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</si>
</sst>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66" formatCode="_-[$$-409]* #,##0.00_ ;_-[$$-409]* \-#,##0.00\ ;_-[$$-409]* &quot;-&quot;??_ ;_-@_ "/>
  </numFmts>
  <fonts count="2" x14ac:knownFonts="1">
    <font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1" xfId="0" applyBorder="1"/>
    <xf numFmtId="14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6">
    <dxf>
      <numFmt numFmtId="165" formatCode="dd/mm/yyyy;@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Prevision.!$B$1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Prevision.!$B$2:$B$9</c:f>
              <c:numCache>
                <c:formatCode>General</c:formatCode>
                <c:ptCount val="8"/>
                <c:pt idx="0">
                  <c:v>150000</c:v>
                </c:pt>
                <c:pt idx="1">
                  <c:v>180000</c:v>
                </c:pt>
                <c:pt idx="2">
                  <c:v>165000</c:v>
                </c:pt>
                <c:pt idx="3">
                  <c:v>195000</c:v>
                </c:pt>
                <c:pt idx="4">
                  <c:v>210000</c:v>
                </c:pt>
                <c:pt idx="5">
                  <c:v>188000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F-4A2F-8B92-B19AADBA19CC}"/>
            </c:ext>
          </c:extLst>
        </c:ser>
        <c:ser>
          <c:idx val="1"/>
          <c:order val="1"/>
          <c:tx>
            <c:strRef>
              <c:f>Prevision.!$C$1</c:f>
              <c:strCache>
                <c:ptCount val="1"/>
                <c:pt idx="0">
                  <c:v>Previsión(Ventas)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Prevision.!$A$2:$A$9</c:f>
              <c:numCache>
                <c:formatCode>dd/mm/yyyy;@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Prevision.!$C$2:$C$9</c:f>
              <c:numCache>
                <c:formatCode>General</c:formatCode>
                <c:ptCount val="8"/>
                <c:pt idx="5" formatCode="_-[$$-409]* #,##0.00_ ;_-[$$-409]* \-#,##0.00\ ;_-[$$-409]* &quot;-&quot;??_ ;_-@_ ">
                  <c:v>188000</c:v>
                </c:pt>
                <c:pt idx="6" formatCode="_-[$$-409]* #,##0.00_ ;_-[$$-409]* \-#,##0.00\ ;_-[$$-409]* &quot;-&quot;??_ ;_-@_ ">
                  <c:v>207029.39498525765</c:v>
                </c:pt>
                <c:pt idx="7" formatCode="_-[$$-409]* #,##0.00_ ;_-[$$-409]* \-#,##0.00\ ;_-[$$-409]* &quot;-&quot;??_ ;_-@_ ">
                  <c:v>214940.37056875639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5F-4A2F-8B92-B19AADBA19CC}"/>
            </c:ext>
          </c:extLst>
        </c:ser>
        <c:ser>
          <c:idx val="2"/>
          <c:order val="2"/>
          <c:tx>
            <c:strRef>
              <c:f>Prevision.!$D$1</c:f>
              <c:strCache>
                <c:ptCount val="1"/>
                <c:pt idx="0">
                  <c:v>Límite de confianza inferior(Ventas)</c:v>
                </c:pt>
              </c:strCache>
            </c:strRef>
          </c:tx>
          <c:spPr>
            <a:ln w="12700" cap="rnd">
              <a:solidFill>
                <a:srgbClr val="54A02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Prevision.!$A$2:$A$9</c:f>
              <c:numCache>
                <c:formatCode>dd/mm/yyyy;@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Prevision.!$D$2:$D$9</c:f>
              <c:numCache>
                <c:formatCode>General</c:formatCode>
                <c:ptCount val="8"/>
                <c:pt idx="5" formatCode="0.00">
                  <c:v>188000</c:v>
                </c:pt>
                <c:pt idx="6" formatCode="0.00">
                  <c:v>176488.98219442804</c:v>
                </c:pt>
                <c:pt idx="7" formatCode="0.00">
                  <c:v>183452.6125444473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5F-4A2F-8B92-B19AADBA19CC}"/>
            </c:ext>
          </c:extLst>
        </c:ser>
        <c:ser>
          <c:idx val="3"/>
          <c:order val="3"/>
          <c:tx>
            <c:strRef>
              <c:f>Prevision.!$E$1</c:f>
              <c:strCache>
                <c:ptCount val="1"/>
                <c:pt idx="0">
                  <c:v>Límite de confianza superior(Ventas)</c:v>
                </c:pt>
              </c:strCache>
            </c:strRef>
          </c:tx>
          <c:spPr>
            <a:ln w="12700" cap="rnd">
              <a:solidFill>
                <a:srgbClr val="54A02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Prevision.!$A$2:$A$9</c:f>
              <c:numCache>
                <c:formatCode>dd/mm/yyyy;@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Prevision.!$E$2:$E$9</c:f>
              <c:numCache>
                <c:formatCode>General</c:formatCode>
                <c:ptCount val="8"/>
                <c:pt idx="5" formatCode="0.00">
                  <c:v>188000</c:v>
                </c:pt>
                <c:pt idx="6" formatCode="0.00">
                  <c:v>237569.80777608725</c:v>
                </c:pt>
                <c:pt idx="7" formatCode="0.00">
                  <c:v>246428.12859306548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5F-4A2F-8B92-B19AADBA1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7098799"/>
        <c:axId val="905808943"/>
      </c:lineChart>
      <c:catAx>
        <c:axId val="98709879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808943"/>
        <c:crosses val="autoZero"/>
        <c:auto val="1"/>
        <c:lblAlgn val="ctr"/>
        <c:lblOffset val="100"/>
        <c:noMultiLvlLbl val="0"/>
      </c:catAx>
      <c:valAx>
        <c:axId val="90580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09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201931</xdr:colOff>
      <xdr:row>11</xdr:row>
      <xdr:rowOff>45720</xdr:rowOff>
    </xdr:from>
    <xdr:to>
      <xdr:col>4</xdr:col>
      <xdr:colOff>2232660</xdr:colOff>
      <xdr:row>25</xdr:row>
      <xdr:rowOff>1905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0D2466-2150-EA63-DFBA-BB1EFF725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E97E5A5-B4B6-44A4-B01A-BD0CD55CEE0B}" autoFormatId="16" applyNumberFormats="0" applyBorderFormats="0" applyFontFormats="0" applyPatternFormats="0" applyAlignmentFormats="0" applyWidthHeightFormats="0">
  <queryTableRefresh nextId="6">
    <queryTableFields count="4">
      <queryTableField id="1" name="Vendedor" tableColumnId="1"/>
      <queryTableField id="2" name="Region" tableColumnId="2"/>
      <queryTableField id="3" name="Ventas" tableColumnId="3"/>
      <queryTableField id="4" name="M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133AF-22A2-4A98-89D9-4267EBD2A0FB}" name="datos_ventas" displayName="datos_ventas" ref="A4:D12" tableType="queryTable" totalsRowShown="0">
  <autoFilter ref="A4:D12" xr:uid="{9C5133AF-22A2-4A98-89D9-4267EBD2A0FB}"/>
  <sortState xmlns:xlrd2="http://schemas.microsoft.com/office/spreadsheetml/2017/richdata2" ref="A5:D12">
    <sortCondition descending="1" ref="C5:C12"/>
  </sortState>
  <tableColumns count="4">
    <tableColumn id="1" xr3:uid="{D452EA5B-420B-43BC-87C0-7D8884CE9535}" uniqueName="1" name="Vendedor" queryTableFieldId="1" dataDxfId="5"/>
    <tableColumn id="2" xr3:uid="{D13761F2-891D-43F3-9F86-EDCD4F4F3210}" uniqueName="2" name="Region" queryTableFieldId="2" dataDxfId="4"/>
    <tableColumn id="3" xr3:uid="{A3A8269B-C638-4D0C-BF5E-F26921D53044}" uniqueName="3" name="Ventas" queryTableFieldId="3"/>
    <tableColumn id="4" xr3:uid="{6E50DAC9-0876-48B7-AA42-B831AEDF829A}" uniqueName="4" name="Mes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217D4A-6AF6-4A79-A30A-36B9B3B4D184}" name="Tabla2" displayName="Tabla2" ref="A1:E9" totalsRowShown="0">
  <autoFilter ref="A1:E9" xr:uid="{94217D4A-6AF6-4A79-A30A-36B9B3B4D184}"/>
  <tableColumns count="5">
    <tableColumn id="1" xr3:uid="{DE2E701A-1386-41C7-87CB-7E416F4F0403}" name="Fecha" dataDxfId="0"/>
    <tableColumn id="2" xr3:uid="{FB5FAE74-F9B9-43DB-866D-A44FC902CB51}" name="Ventas"/>
    <tableColumn id="3" xr3:uid="{E4E62F30-8204-450E-AD3B-033E6EF70279}" name="Previsión(Ventas)"/>
    <tableColumn id="4" xr3:uid="{758201EE-DF65-4EFD-A6C4-E16281FCEE61}" name="Límite de confianza inferior(Ventas)" dataDxfId="2"/>
    <tableColumn id="5" xr3:uid="{307377BF-4C01-4375-B13F-2A1423608F25}" name="Límite de confianza superior(Ventas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aceta">
  <a:themeElements>
    <a:clrScheme name="Faceta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Times New Roman-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orde de resplandor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2C09-4F21-4625-B4FA-3003AA99332C}">
  <dimension ref="A4:F17"/>
  <sheetViews>
    <sheetView tabSelected="1" workbookViewId="0">
      <selection activeCell="H9" sqref="H9"/>
    </sheetView>
  </sheetViews>
  <sheetFormatPr baseColWidth="10" defaultRowHeight="13.8" x14ac:dyDescent="0.25"/>
  <cols>
    <col min="1" max="1" width="11.5" bestFit="1" customWidth="1"/>
    <col min="2" max="2" width="9.09765625" bestFit="1" customWidth="1"/>
    <col min="3" max="3" width="9" bestFit="1" customWidth="1"/>
    <col min="4" max="5" width="7.19921875" bestFit="1" customWidth="1"/>
  </cols>
  <sheetData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s="1" t="s">
        <v>19</v>
      </c>
      <c r="B5" s="1" t="s">
        <v>13</v>
      </c>
      <c r="C5">
        <v>25000</v>
      </c>
      <c r="D5" s="1" t="s">
        <v>18</v>
      </c>
    </row>
    <row r="6" spans="1:4" x14ac:dyDescent="0.25">
      <c r="A6" s="1" t="s">
        <v>9</v>
      </c>
      <c r="B6" s="1" t="s">
        <v>10</v>
      </c>
      <c r="C6">
        <v>22000</v>
      </c>
      <c r="D6" s="1" t="s">
        <v>11</v>
      </c>
    </row>
    <row r="7" spans="1:4" x14ac:dyDescent="0.25">
      <c r="A7" s="1" t="s">
        <v>14</v>
      </c>
      <c r="B7" s="1" t="s">
        <v>5</v>
      </c>
      <c r="C7">
        <v>18000</v>
      </c>
      <c r="D7" s="1" t="s">
        <v>15</v>
      </c>
    </row>
    <row r="8" spans="1:4" x14ac:dyDescent="0.25">
      <c r="A8" s="1" t="s">
        <v>4</v>
      </c>
      <c r="B8" s="1" t="s">
        <v>5</v>
      </c>
      <c r="C8">
        <v>15000</v>
      </c>
      <c r="D8" s="1" t="s">
        <v>6</v>
      </c>
    </row>
    <row r="9" spans="1:4" x14ac:dyDescent="0.25">
      <c r="A9" s="1" t="s">
        <v>16</v>
      </c>
      <c r="B9" s="1" t="s">
        <v>8</v>
      </c>
      <c r="C9">
        <v>9000</v>
      </c>
      <c r="D9" s="1" t="s">
        <v>15</v>
      </c>
    </row>
    <row r="10" spans="1:4" x14ac:dyDescent="0.25">
      <c r="A10" s="1" t="s">
        <v>7</v>
      </c>
      <c r="B10" s="1" t="s">
        <v>8</v>
      </c>
      <c r="C10">
        <v>8000</v>
      </c>
      <c r="D10" s="1" t="s">
        <v>6</v>
      </c>
    </row>
    <row r="11" spans="1:4" x14ac:dyDescent="0.25">
      <c r="A11" s="1" t="s">
        <v>12</v>
      </c>
      <c r="B11" s="1" t="s">
        <v>13</v>
      </c>
      <c r="C11">
        <v>5000</v>
      </c>
      <c r="D11" s="1" t="s">
        <v>11</v>
      </c>
    </row>
    <row r="12" spans="1:4" x14ac:dyDescent="0.25">
      <c r="A12" s="1" t="s">
        <v>17</v>
      </c>
      <c r="B12" s="1" t="s">
        <v>10</v>
      </c>
      <c r="C12">
        <v>3000</v>
      </c>
      <c r="D12" s="1" t="s">
        <v>18</v>
      </c>
    </row>
    <row r="17" spans="6:6" x14ac:dyDescent="0.25">
      <c r="F17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DA52-8594-49F4-8671-0405E7860F14}">
  <dimension ref="A1:G9"/>
  <sheetViews>
    <sheetView topLeftCell="B1" zoomScale="85" zoomScaleNormal="85" workbookViewId="0">
      <selection activeCell="G17" sqref="G17"/>
    </sheetView>
  </sheetViews>
  <sheetFormatPr baseColWidth="10" defaultRowHeight="13.8" x14ac:dyDescent="0.25"/>
  <cols>
    <col min="1" max="1" width="11.19921875" style="5"/>
    <col min="3" max="3" width="18.19921875" customWidth="1"/>
    <col min="4" max="4" width="33.69921875" customWidth="1"/>
    <col min="5" max="5" width="34.69921875" customWidth="1"/>
    <col min="7" max="7" width="39.69921875" customWidth="1"/>
  </cols>
  <sheetData>
    <row r="1" spans="1:7" x14ac:dyDescent="0.25">
      <c r="A1" s="5" t="s">
        <v>20</v>
      </c>
      <c r="B1" t="s">
        <v>2</v>
      </c>
      <c r="C1" t="s">
        <v>21</v>
      </c>
      <c r="D1" t="s">
        <v>22</v>
      </c>
      <c r="E1" t="s">
        <v>23</v>
      </c>
    </row>
    <row r="2" spans="1:7" x14ac:dyDescent="0.25">
      <c r="A2" s="5">
        <v>46023</v>
      </c>
      <c r="B2">
        <v>150000</v>
      </c>
    </row>
    <row r="3" spans="1:7" x14ac:dyDescent="0.25">
      <c r="A3" s="5">
        <v>46054</v>
      </c>
      <c r="B3">
        <v>180000</v>
      </c>
    </row>
    <row r="4" spans="1:7" x14ac:dyDescent="0.25">
      <c r="A4" s="5">
        <v>46082</v>
      </c>
      <c r="B4">
        <v>165000</v>
      </c>
    </row>
    <row r="5" spans="1:7" x14ac:dyDescent="0.25">
      <c r="A5" s="5">
        <v>46113</v>
      </c>
      <c r="B5">
        <v>195000</v>
      </c>
    </row>
    <row r="6" spans="1:7" x14ac:dyDescent="0.25">
      <c r="A6" s="5">
        <v>46143</v>
      </c>
      <c r="B6">
        <v>210000</v>
      </c>
    </row>
    <row r="7" spans="1:7" x14ac:dyDescent="0.25">
      <c r="A7" s="5">
        <v>46174</v>
      </c>
      <c r="B7">
        <v>188000</v>
      </c>
      <c r="C7" s="6">
        <v>188000</v>
      </c>
      <c r="D7" s="4">
        <v>188000</v>
      </c>
      <c r="E7" s="4">
        <v>188000</v>
      </c>
    </row>
    <row r="8" spans="1:7" ht="14.4" x14ac:dyDescent="0.3">
      <c r="A8" s="5">
        <v>46204</v>
      </c>
      <c r="C8" s="6">
        <f>_xlfn.FORECAST.ETS(A8,$B$2:$B$7,$A$2:$A$7,1,1)</f>
        <v>207029.39498525765</v>
      </c>
      <c r="D8" s="4">
        <f>C8-_xlfn.FORECAST.ETS.CONFINT(A8,$B$2:$B$7,$A$2:$A$7,0.95,1,1)</f>
        <v>176488.98219442804</v>
      </c>
      <c r="E8" s="4">
        <f>C8+_xlfn.FORECAST.ETS.CONFINT(A8,$B$2:$B$7,$A$2:$A$7,0.95,1,1)</f>
        <v>237569.80777608725</v>
      </c>
      <c r="G8" t="s">
        <v>24</v>
      </c>
    </row>
    <row r="9" spans="1:7" ht="14.4" x14ac:dyDescent="0.3">
      <c r="A9" s="5">
        <v>46235</v>
      </c>
      <c r="C9" s="6">
        <f>_xlfn.FORECAST.ETS(A9,$B$2:$B$7,$A$2:$A$7,1,1)</f>
        <v>214940.37056875639</v>
      </c>
      <c r="D9" s="4">
        <f>C9-_xlfn.FORECAST.ETS.CONFINT(A9,$B$2:$B$7,$A$2:$A$7,0.95,1,1)</f>
        <v>183452.6125444473</v>
      </c>
      <c r="E9" s="4">
        <f>C9+_xlfn.FORECAST.ETS.CONFINT(A9,$B$2:$B$7,$A$2:$A$7,0.95,1,1)</f>
        <v>246428.12859306548</v>
      </c>
      <c r="G9" t="s">
        <v>25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1185-6136-4D3D-8FF2-427DACF45E88}">
  <dimension ref="A2:B15"/>
  <sheetViews>
    <sheetView workbookViewId="0">
      <selection activeCell="C12" sqref="C12:C14"/>
    </sheetView>
  </sheetViews>
  <sheetFormatPr baseColWidth="10" defaultRowHeight="13.8" x14ac:dyDescent="0.25"/>
  <sheetData>
    <row r="2" spans="1:2" x14ac:dyDescent="0.25">
      <c r="A2" t="s">
        <v>20</v>
      </c>
      <c r="B2" t="s">
        <v>2</v>
      </c>
    </row>
    <row r="3" spans="1:2" hidden="1" x14ac:dyDescent="0.25">
      <c r="A3" s="3">
        <v>46023</v>
      </c>
      <c r="B3">
        <v>150000</v>
      </c>
    </row>
    <row r="4" spans="1:2" collapsed="1" x14ac:dyDescent="0.25">
      <c r="A4" s="3">
        <f>SUBTOTAL(9,A3:A3)</f>
        <v>46023</v>
      </c>
      <c r="B4">
        <f>SUBTOTAL(9,B3:B3)</f>
        <v>150000</v>
      </c>
    </row>
    <row r="5" spans="1:2" hidden="1" x14ac:dyDescent="0.25">
      <c r="A5" s="3">
        <v>46054</v>
      </c>
      <c r="B5">
        <v>180000</v>
      </c>
    </row>
    <row r="6" spans="1:2" collapsed="1" x14ac:dyDescent="0.25">
      <c r="A6" s="3">
        <f>SUBTOTAL(9,A5:A5)</f>
        <v>46054</v>
      </c>
      <c r="B6">
        <f>SUBTOTAL(9,B5:B5)</f>
        <v>180000</v>
      </c>
    </row>
    <row r="7" spans="1:2" x14ac:dyDescent="0.25">
      <c r="A7" s="3">
        <v>46082</v>
      </c>
      <c r="B7">
        <v>165000</v>
      </c>
    </row>
    <row r="8" spans="1:2" x14ac:dyDescent="0.25">
      <c r="A8" s="3">
        <f>SUBTOTAL(9,A7:A7)</f>
        <v>46082</v>
      </c>
      <c r="B8">
        <f>SUBTOTAL(9,B7:B7)</f>
        <v>165000</v>
      </c>
    </row>
    <row r="9" spans="1:2" hidden="1" x14ac:dyDescent="0.25">
      <c r="A9" s="3">
        <v>46113</v>
      </c>
      <c r="B9">
        <v>195000</v>
      </c>
    </row>
    <row r="10" spans="1:2" collapsed="1" x14ac:dyDescent="0.25">
      <c r="A10" s="3">
        <f>SUBTOTAL(9,A9:A9)</f>
        <v>46113</v>
      </c>
      <c r="B10">
        <f>SUBTOTAL(9,B9:B9)</f>
        <v>195000</v>
      </c>
    </row>
    <row r="11" spans="1:2" x14ac:dyDescent="0.25">
      <c r="A11" s="3">
        <v>46143</v>
      </c>
      <c r="B11">
        <v>210000</v>
      </c>
    </row>
    <row r="12" spans="1:2" x14ac:dyDescent="0.25">
      <c r="A12" s="3">
        <f>SUBTOTAL(9,A11:A11)</f>
        <v>46143</v>
      </c>
      <c r="B12">
        <f>SUBTOTAL(9,B11:B11)</f>
        <v>210000</v>
      </c>
    </row>
    <row r="13" spans="1:2" hidden="1" x14ac:dyDescent="0.25">
      <c r="A13" s="3">
        <v>46174</v>
      </c>
      <c r="B13">
        <v>188000</v>
      </c>
    </row>
    <row r="14" spans="1:2" collapsed="1" x14ac:dyDescent="0.25">
      <c r="A14" s="3">
        <f>SUBTOTAL(9,A13:A13)</f>
        <v>46174</v>
      </c>
      <c r="B14">
        <f>SUBTOTAL(9,B13:B13)</f>
        <v>188000</v>
      </c>
    </row>
    <row r="15" spans="1:2" x14ac:dyDescent="0.25">
      <c r="B1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CA61-C7A0-4E28-B545-0DDC83B696F1}">
  <dimension ref="A1:C3"/>
  <sheetViews>
    <sheetView topLeftCell="A3" workbookViewId="0">
      <selection activeCell="B15" sqref="B15"/>
    </sheetView>
  </sheetViews>
  <sheetFormatPr baseColWidth="10" defaultRowHeight="13.8" outlineLevelRow="1" x14ac:dyDescent="0.25"/>
  <cols>
    <col min="1" max="1" width="16.796875" bestFit="1" customWidth="1"/>
  </cols>
  <sheetData>
    <row r="1" spans="1:3" hidden="1" outlineLevel="1" x14ac:dyDescent="0.25">
      <c r="A1" s="2" t="s">
        <v>4</v>
      </c>
      <c r="B1" s="2" t="s">
        <v>5</v>
      </c>
      <c r="C1" s="2" t="s">
        <v>10</v>
      </c>
    </row>
    <row r="2" spans="1:3" hidden="1" outlineLevel="1" x14ac:dyDescent="0.25">
      <c r="A2" s="2" t="s">
        <v>7</v>
      </c>
      <c r="B2" s="2" t="s">
        <v>8</v>
      </c>
      <c r="C2" s="2">
        <v>8000</v>
      </c>
    </row>
    <row r="3" spans="1:3" collapsed="1" x14ac:dyDescent="0.25">
      <c r="A3" s="2" t="s">
        <v>9</v>
      </c>
      <c r="B3" s="2" t="s">
        <v>10</v>
      </c>
      <c r="C3" s="2">
        <v>22000</v>
      </c>
    </row>
  </sheetData>
  <dataValidations count="2">
    <dataValidation type="list" allowBlank="1" showInputMessage="1" showErrorMessage="1" sqref="G9 C1" xr:uid="{974A03F9-3F6A-48C5-A35A-A988065CAA57}">
      <formula1>"Norte,Sur,Este,Oeste"</formula1>
    </dataValidation>
    <dataValidation type="list" allowBlank="1" showInputMessage="1" showErrorMessage="1" sqref="B1" xr:uid="{00B2E2AA-5C86-4DFB-A47D-FFA126FC30F0}">
      <formula1>"Norte,Sur,Este"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225560-5446-4CB5-8B4A-B7442BF229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datos_ventas</vt:lpstr>
      <vt:lpstr>Prevision.</vt:lpstr>
      <vt:lpstr>Datos</vt:lpstr>
      <vt:lpstr>Herramientas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cp:lastPrinted>2026-07-06T00:41:59Z</cp:lastPrinted>
  <dcterms:created xsi:type="dcterms:W3CDTF">2026-07-06T00:39:51Z</dcterms:created>
  <dcterms:modified xsi:type="dcterms:W3CDTF">2026-07-06T01:30:28Z</dcterms:modified>
</cp:coreProperties>
</file>