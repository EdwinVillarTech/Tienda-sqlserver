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Ex2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pivotTables/pivotTable2.xml" ContentType="application/vnd.openxmlformats-officedocument.spreadsheetml.pivotTable+xml"/>
  <Override PartName="/xl/drawings/drawing6.xml" ContentType="application/vnd.openxmlformats-officedocument.drawing+xml"/>
  <Override PartName="/xl/slicers/slicer2.xml" ContentType="application/vnd.ms-excel.slicer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d86eecf8daf4f0d/Documents/SQL Server Management Studio 22/Tienda-sqlserver/"/>
    </mc:Choice>
  </mc:AlternateContent>
  <xr:revisionPtr revIDLastSave="16" documentId="8_{7C6AF172-42A2-4ED1-8983-3210DDE5F5E3}" xr6:coauthVersionLast="47" xr6:coauthVersionMax="47" xr10:uidLastSave="{46575F35-803A-475E-8C42-789F1A3A91CF}"/>
  <bookViews>
    <workbookView xWindow="0" yWindow="0" windowWidth="12528" windowHeight="11724" activeTab="8" xr2:uid="{7A48CF64-EFBF-4FB8-B35A-7068A8CFFF1D}"/>
  </bookViews>
  <sheets>
    <sheet name="Inicio" sheetId="1" r:id="rId1"/>
    <sheet name="TableDinamica" sheetId="5" r:id="rId2"/>
    <sheet name="Insertar" sheetId="2" r:id="rId3"/>
    <sheet name="Graficos" sheetId="6" r:id="rId4"/>
    <sheet name="Mapa" sheetId="7" r:id="rId5"/>
    <sheet name="Pivot" sheetId="9" r:id="rId6"/>
    <sheet name="Dinamico" sheetId="8" r:id="rId7"/>
    <sheet name="Minigraficos" sheetId="12" r:id="rId8"/>
    <sheet name="Trazo" sheetId="3" r:id="rId9"/>
  </sheets>
  <definedNames>
    <definedName name="_xlnm._FilterDatabase" localSheetId="3" hidden="1">Graficos!$A$3:$D$9</definedName>
    <definedName name="_xlnm._FilterDatabase" localSheetId="0" hidden="1">Inicio!$A$4:$F$15</definedName>
    <definedName name="_xlnm._FilterDatabase" localSheetId="2" hidden="1">Insertar!$A$6:$F$17</definedName>
    <definedName name="_xlchart.v1.0" hidden="1">Graficos!$A$4:$A$9</definedName>
    <definedName name="_xlchart.v1.1" hidden="1">Graficos!$B$4:$B$9</definedName>
    <definedName name="_xlchart.v5.2" hidden="1">Mapa!$A$1</definedName>
    <definedName name="_xlchart.v5.3" hidden="1">Mapa!$A$2:$A$11</definedName>
    <definedName name="_xlchart.v5.4" hidden="1">Mapa!$B$1</definedName>
    <definedName name="_xlchart.v5.5" hidden="1">Mapa!$B$2:$B$11</definedName>
    <definedName name="NativeTimeline_Fecha">#N/A</definedName>
    <definedName name="SegmentaciónDeDatos_Estado">#N/A</definedName>
    <definedName name="SegmentaciónDeDatos_Region">#N/A</definedName>
    <definedName name="SegmentaciónDeDatos_Region1">#N/A</definedName>
  </definedNames>
  <calcPr calcId="191029"/>
  <pivotCaches>
    <pivotCache cacheId="7" r:id="rId10"/>
    <pivotCache cacheId="14" r:id="rId11"/>
  </pivotCaches>
  <extLst>
    <ext xmlns:x14="http://schemas.microsoft.com/office/spreadsheetml/2009/9/main" uri="{BBE1A952-AA13-448e-AADC-164F8A28A991}">
      <x14:slicerCaches>
        <x14:slicerCache r:id="rId12"/>
        <x14:slicerCache r:id="rId13"/>
        <x14:slicerCache r:id="rId1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15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" i="2" l="1"/>
  <c r="D14" i="2" s="1"/>
  <c r="E15" i="2"/>
  <c r="E9" i="2"/>
  <c r="E7" i="2"/>
  <c r="E11" i="2"/>
  <c r="E8" i="2"/>
  <c r="E10" i="2"/>
  <c r="E13" i="2"/>
  <c r="E16" i="2"/>
  <c r="E9" i="1"/>
  <c r="E6" i="1"/>
  <c r="E10" i="1"/>
  <c r="E7" i="1"/>
  <c r="E11" i="1"/>
  <c r="E12" i="1"/>
  <c r="E5" i="1"/>
  <c r="E8" i="1"/>
  <c r="D15" i="1"/>
  <c r="D13" i="1"/>
  <c r="D14" i="1" s="1"/>
  <c r="D17" i="2" l="1"/>
</calcChain>
</file>

<file path=xl/sharedStrings.xml><?xml version="1.0" encoding="utf-8"?>
<sst xmlns="http://schemas.openxmlformats.org/spreadsheetml/2006/main" count="164" uniqueCount="64">
  <si>
    <t>Vendedor</t>
  </si>
  <si>
    <t>Region</t>
  </si>
  <si>
    <t>Ventas</t>
  </si>
  <si>
    <t>Estado</t>
  </si>
  <si>
    <t>Carlos</t>
  </si>
  <si>
    <t>Norte</t>
  </si>
  <si>
    <t>Activo</t>
  </si>
  <si>
    <t>Maria</t>
  </si>
  <si>
    <t>Sur</t>
  </si>
  <si>
    <t>Pedro</t>
  </si>
  <si>
    <t>Este</t>
  </si>
  <si>
    <t>Ana</t>
  </si>
  <si>
    <t>Oeste</t>
  </si>
  <si>
    <t>Luis</t>
  </si>
  <si>
    <t>Carmen</t>
  </si>
  <si>
    <t>Roberto</t>
  </si>
  <si>
    <t>Sofia</t>
  </si>
  <si>
    <t>Total</t>
  </si>
  <si>
    <t>Promedio</t>
  </si>
  <si>
    <t>Mayor Venta</t>
  </si>
  <si>
    <t>Bono</t>
  </si>
  <si>
    <t>INACTIVO</t>
  </si>
  <si>
    <t>(Todas)</t>
  </si>
  <si>
    <t>Etiquetas de fila</t>
  </si>
  <si>
    <t>Total general</t>
  </si>
  <si>
    <t>Suma de Ventas</t>
  </si>
  <si>
    <t>Fecha</t>
  </si>
  <si>
    <t>Ver tabla Dinamica</t>
  </si>
  <si>
    <t>Insertar!A1</t>
  </si>
  <si>
    <t>TableDinamica!A1</t>
  </si>
  <si>
    <t>Trazo!A1</t>
  </si>
  <si>
    <t>©®€£¥'</t>
  </si>
  <si>
    <t>Mes</t>
  </si>
  <si>
    <t>Gastos</t>
  </si>
  <si>
    <t>Utilidad</t>
  </si>
  <si>
    <t>Enero</t>
  </si>
  <si>
    <t>Febrero</t>
  </si>
  <si>
    <t>Marzo</t>
  </si>
  <si>
    <t>Abril</t>
  </si>
  <si>
    <t>Mayo</t>
  </si>
  <si>
    <t>Junio</t>
  </si>
  <si>
    <t xml:space="preserve">Mes Ventas Gastos Utilidad </t>
  </si>
  <si>
    <t>"Las ventas crecieron consistentemente hasta Mayo pero tuvieron una caída en Junio — necesitamos investigar por qué"</t>
  </si>
  <si>
    <r>
      <t xml:space="preserve">Muestra si cuando las </t>
    </r>
    <r>
      <rPr>
        <b/>
        <sz val="11"/>
        <color theme="1"/>
        <rFont val="Calibri"/>
        <family val="2"/>
        <scheme val="minor"/>
      </rPr>
      <t>Ventas suben</t>
    </r>
    <r>
      <rPr>
        <sz val="11"/>
        <color theme="1"/>
        <rFont val="Calibri"/>
        <family val="2"/>
        <scheme val="minor"/>
      </rPr>
      <t xml:space="preserve">, los </t>
    </r>
    <r>
      <rPr>
        <b/>
        <sz val="11"/>
        <color theme="1"/>
        <rFont val="Calibri"/>
        <family val="2"/>
        <scheme val="minor"/>
      </rPr>
      <t>Gastos también suben</t>
    </r>
    <r>
      <rPr>
        <sz val="11"/>
        <color theme="1"/>
        <rFont val="Calibri"/>
        <family val="2"/>
        <scheme val="minor"/>
      </rPr>
      <t xml:space="preserve"> — eso se llama correlación. En análisis de datos es muy importante.</t>
    </r>
  </si>
  <si>
    <r>
      <t xml:space="preserve">Muestra la </t>
    </r>
    <r>
      <rPr>
        <b/>
        <sz val="11"/>
        <color theme="1"/>
        <rFont val="Calibri"/>
        <family val="2"/>
        <scheme val="minor"/>
      </rPr>
      <t>evolución paso a paso</t>
    </r>
    <r>
      <rPr>
        <sz val="11"/>
        <color theme="1"/>
        <rFont val="Calibri"/>
        <family val="2"/>
        <scheme val="minor"/>
      </rPr>
      <t xml:space="preserve"> — cada barra representa un período y la última barra gris es el </t>
    </r>
    <r>
      <rPr>
        <b/>
        <sz val="11"/>
        <color theme="1"/>
        <rFont val="Calibri"/>
        <family val="2"/>
        <scheme val="minor"/>
      </rPr>
      <t>total acumulado</t>
    </r>
  </si>
  <si>
    <t>País</t>
  </si>
  <si>
    <t>República Dominicana</t>
  </si>
  <si>
    <t>México</t>
  </si>
  <si>
    <t>Colombia</t>
  </si>
  <si>
    <t>Argentina</t>
  </si>
  <si>
    <t>Chile</t>
  </si>
  <si>
    <t>Perú</t>
  </si>
  <si>
    <t>Venezuela</t>
  </si>
  <si>
    <t>Ecuador</t>
  </si>
  <si>
    <t>Guatemala</t>
  </si>
  <si>
    <t>Cuba</t>
  </si>
  <si>
    <t>"Un mapa donde los colores más oscuros representan los mercados más fuertes y los más claros los más débiles"</t>
  </si>
  <si>
    <t>Etiquetas de columna</t>
  </si>
  <si>
    <t>GraficoDinamico</t>
  </si>
  <si>
    <t>Tendencia</t>
  </si>
  <si>
    <r>
      <t>Pedro</t>
    </r>
    <r>
      <rPr>
        <sz val="11"/>
        <color theme="1"/>
        <rFont val="Calibri"/>
        <family val="2"/>
        <scheme val="minor"/>
      </rPr>
      <t xml:space="preserve"> → línea siempre subiendo 📈 (el mejor)</t>
    </r>
  </si>
  <si>
    <r>
      <t>Carlos</t>
    </r>
    <r>
      <rPr>
        <sz val="11"/>
        <color theme="1"/>
        <rFont val="Calibri"/>
        <family val="2"/>
        <scheme val="minor"/>
      </rPr>
      <t xml:space="preserve"> → sube pero tiene una caída en Abril</t>
    </r>
  </si>
  <si>
    <r>
      <t>Ana</t>
    </r>
    <r>
      <rPr>
        <sz val="11"/>
        <color theme="1"/>
        <rFont val="Calibri"/>
        <family val="2"/>
        <scheme val="minor"/>
      </rPr>
      <t xml:space="preserve"> → la más baja pero con tendencia positiva</t>
    </r>
  </si>
  <si>
    <r>
      <rPr>
        <sz val="11"/>
        <color theme="1"/>
        <rFont val="Calibri"/>
        <family val="2"/>
      </rPr>
      <t>€®</t>
    </r>
    <r>
      <rPr>
        <sz val="11"/>
        <color theme="1"/>
        <rFont val="Marlett"/>
        <charset val="2"/>
      </rPr>
      <t xml:space="preserve"> </t>
    </r>
    <r>
      <rPr>
        <sz val="11"/>
        <color theme="1"/>
        <rFont val="Calibri"/>
        <family val="2"/>
      </rPr>
      <t xml:space="preserve">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</si>
</sst>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XDR&quot;* #,##0.00_-;\-&quot;XDR&quot;* #,##0.00_-;_-&quot;XDR&quot;* &quot;-&quot;??_-;_-@_-"/>
    <numFmt numFmtId="164" formatCode="_-[$$-409]* #,##0.00_ ;_-[$$-409]* \-#,##0.00\ ;_-[$$-409]* &quot;-&quot;??_ ;_-@_ "/>
    <numFmt numFmtId="165" formatCode="_-[$$-2C0A]\ * #,##0.00_-;\-[$$-2C0A]\ * #,##0.00_-;_-[$$-2C0A]\ * &quot;-&quot;??_-;_-@_-"/>
    <numFmt numFmtId="166" formatCode="_-[$$-1C0A]* #,##0.00_ ;_-[$$-1C0A]* \-#,##0.00\ ;_-[$$-1C0A]* &quot;-&quot;??_ ;_-@_ "/>
    <numFmt numFmtId="167" formatCode="dd/mm/yyyy;@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0"/>
      <name val="Times New Roman"/>
      <family val="1"/>
    </font>
    <font>
      <b/>
      <sz val="12"/>
      <color theme="1"/>
      <name val="Calibri"/>
      <family val="2"/>
      <scheme val="minor"/>
    </font>
    <font>
      <sz val="11"/>
      <color theme="1"/>
      <name val="Marlett"/>
      <charset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38">
    <xf numFmtId="0" fontId="0" fillId="0" borderId="0" xfId="0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166" fontId="0" fillId="0" borderId="1" xfId="1" applyNumberFormat="1" applyFont="1" applyFill="1" applyBorder="1" applyAlignment="1">
      <alignment horizontal="right" wrapText="1"/>
    </xf>
    <xf numFmtId="0" fontId="0" fillId="0" borderId="1" xfId="0" applyBorder="1" applyAlignment="1">
      <alignment horizontal="left" wrapText="1"/>
    </xf>
    <xf numFmtId="164" fontId="0" fillId="0" borderId="1" xfId="0" applyNumberFormat="1" applyBorder="1" applyAlignment="1">
      <alignment horizontal="right" wrapText="1"/>
    </xf>
    <xf numFmtId="164" fontId="5" fillId="0" borderId="1" xfId="0" applyNumberFormat="1" applyFont="1" applyBorder="1"/>
    <xf numFmtId="0" fontId="4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1" xfId="1" applyNumberFormat="1" applyFont="1" applyFill="1" applyBorder="1" applyAlignment="1">
      <alignment horizontal="right" wrapText="1"/>
    </xf>
    <xf numFmtId="0" fontId="2" fillId="0" borderId="1" xfId="0" applyFont="1" applyBorder="1"/>
    <xf numFmtId="0" fontId="0" fillId="0" borderId="0" xfId="1" applyNumberFormat="1" applyFont="1" applyFill="1" applyBorder="1" applyAlignment="1">
      <alignment horizontal="right" wrapText="1"/>
    </xf>
    <xf numFmtId="166" fontId="0" fillId="0" borderId="0" xfId="1" applyNumberFormat="1" applyFont="1" applyFill="1" applyBorder="1" applyAlignment="1">
      <alignment horizontal="right" wrapText="1"/>
    </xf>
    <xf numFmtId="167" fontId="0" fillId="0" borderId="1" xfId="0" applyNumberFormat="1" applyBorder="1"/>
    <xf numFmtId="167" fontId="0" fillId="0" borderId="0" xfId="0" applyNumberFormat="1"/>
    <xf numFmtId="167" fontId="6" fillId="2" borderId="1" xfId="0" applyNumberFormat="1" applyFont="1" applyFill="1" applyBorder="1"/>
    <xf numFmtId="0" fontId="7" fillId="0" borderId="0" xfId="2"/>
    <xf numFmtId="167" fontId="7" fillId="0" borderId="0" xfId="2" applyNumberFormat="1"/>
    <xf numFmtId="0" fontId="8" fillId="0" borderId="0" xfId="0" applyFont="1"/>
    <xf numFmtId="0" fontId="10" fillId="0" borderId="0" xfId="0" applyFont="1"/>
    <xf numFmtId="0" fontId="0" fillId="0" borderId="0" xfId="0" applyAlignment="1">
      <alignment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0" fontId="11" fillId="4" borderId="1" xfId="0" applyFont="1" applyFill="1" applyBorder="1"/>
    <xf numFmtId="0" fontId="10" fillId="0" borderId="1" xfId="0" applyFont="1" applyBorder="1"/>
    <xf numFmtId="164" fontId="10" fillId="0" borderId="1" xfId="0" applyNumberFormat="1" applyFont="1" applyBorder="1"/>
    <xf numFmtId="0" fontId="0" fillId="3" borderId="0" xfId="0" applyFill="1" applyAlignment="1">
      <alignment wrapText="1"/>
    </xf>
    <xf numFmtId="0" fontId="12" fillId="0" borderId="1" xfId="0" applyFont="1" applyBorder="1"/>
    <xf numFmtId="0" fontId="4" fillId="0" borderId="0" xfId="0" applyFont="1" applyAlignment="1">
      <alignment horizontal="center"/>
    </xf>
    <xf numFmtId="0" fontId="9" fillId="0" borderId="0" xfId="0" applyFont="1"/>
    <xf numFmtId="0" fontId="2" fillId="3" borderId="0" xfId="0" applyFont="1" applyFill="1"/>
    <xf numFmtId="167" fontId="2" fillId="0" borderId="1" xfId="0" applyNumberFormat="1" applyFont="1" applyBorder="1"/>
    <xf numFmtId="0" fontId="0" fillId="0" borderId="0" xfId="0" applyNumberFormat="1"/>
  </cellXfs>
  <cellStyles count="3">
    <cellStyle name="Hipervínculo" xfId="2" builtinId="8"/>
    <cellStyle name="Moneda" xfId="1" builtinId="4"/>
    <cellStyle name="Normal" xfId="0" builtinId="0"/>
  </cellStyles>
  <dxfs count="6"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microsoft.com/office/2011/relationships/timelineCache" Target="timelineCaches/timelineCache1.xml"/><Relationship Id="rId10" Type="http://schemas.openxmlformats.org/officeDocument/2006/relationships/pivotCacheDefinition" Target="pivotCache/pivotCacheDefinition1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Comparativo de Ventas por</a:t>
            </a:r>
            <a:r>
              <a:rPr lang="en-US" baseline="0"/>
              <a:t> Vendedor 2026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642847769028871"/>
          <c:y val="0.16245370370370371"/>
          <c:w val="0.80301596675415576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Insertar!$D$6</c:f>
              <c:strCache>
                <c:ptCount val="1"/>
                <c:pt idx="0">
                  <c:v>Ventas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extLst>
                <c:ext xmlns:c15="http://schemas.microsoft.com/office/drawing/2012/chart" uri="{02D57815-91ED-43cb-92C2-25804820EDAC}">
                  <c15:fullRef>
                    <c15:sqref>Insertar!$B$7:$C$14</c15:sqref>
                  </c15:fullRef>
                  <c15:levelRef>
                    <c15:sqref>Insertar!$B$7:$B$14</c15:sqref>
                  </c15:levelRef>
                </c:ext>
              </c:extLst>
              <c:f>Insertar!$B$7:$B$14</c:f>
              <c:strCache>
                <c:ptCount val="8"/>
                <c:pt idx="0">
                  <c:v>Ana</c:v>
                </c:pt>
                <c:pt idx="1">
                  <c:v>Carlos</c:v>
                </c:pt>
                <c:pt idx="2">
                  <c:v>Carmen</c:v>
                </c:pt>
                <c:pt idx="3">
                  <c:v>Luis</c:v>
                </c:pt>
                <c:pt idx="4">
                  <c:v>Maria</c:v>
                </c:pt>
                <c:pt idx="5">
                  <c:v>Mayor Venta</c:v>
                </c:pt>
                <c:pt idx="6">
                  <c:v>Pedro</c:v>
                </c:pt>
                <c:pt idx="7">
                  <c:v>Promedio</c:v>
                </c:pt>
              </c:strCache>
            </c:strRef>
          </c:cat>
          <c:val>
            <c:numRef>
              <c:f>Insertar!$D$7:$D$14</c:f>
              <c:numCache>
                <c:formatCode>_-[$$-409]* #,##0.00_ ;_-[$$-409]* \-#,##0.00\ ;_-[$$-409]* "-"??_ ;_-@_ </c:formatCode>
                <c:ptCount val="8"/>
                <c:pt idx="0">
                  <c:v>5000</c:v>
                </c:pt>
                <c:pt idx="1">
                  <c:v>15000</c:v>
                </c:pt>
                <c:pt idx="2">
                  <c:v>9000</c:v>
                </c:pt>
                <c:pt idx="3">
                  <c:v>18000</c:v>
                </c:pt>
                <c:pt idx="4">
                  <c:v>8000</c:v>
                </c:pt>
                <c:pt idx="5">
                  <c:v>15000</c:v>
                </c:pt>
                <c:pt idx="6">
                  <c:v>22000</c:v>
                </c:pt>
                <c:pt idx="7">
                  <c:v>13142.857142857143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C1-45F1-B0E5-00733541EA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2780864"/>
        <c:axId val="1093490352"/>
      </c:barChart>
      <c:catAx>
        <c:axId val="1312780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490352"/>
        <c:crosses val="autoZero"/>
        <c:auto val="1"/>
        <c:lblAlgn val="ctr"/>
        <c:lblOffset val="100"/>
        <c:noMultiLvlLbl val="0"/>
      </c:catAx>
      <c:valAx>
        <c:axId val="1093490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2780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Tendencia</a:t>
            </a:r>
            <a:r>
              <a:rPr lang="en-US" sz="1200" baseline="0"/>
              <a:t> de Ventas Enero-Junio 2026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Graficos!$B$3</c:f>
              <c:strCache>
                <c:ptCount val="1"/>
                <c:pt idx="0">
                  <c:v>Ventas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Graficos!$A$4:$A$9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Graficos!$B$4:$B$9</c:f>
              <c:numCache>
                <c:formatCode>General</c:formatCode>
                <c:ptCount val="6"/>
                <c:pt idx="0">
                  <c:v>150000</c:v>
                </c:pt>
                <c:pt idx="1">
                  <c:v>180000</c:v>
                </c:pt>
                <c:pt idx="2">
                  <c:v>165000</c:v>
                </c:pt>
                <c:pt idx="3">
                  <c:v>195000</c:v>
                </c:pt>
                <c:pt idx="4">
                  <c:v>210000</c:v>
                </c:pt>
                <c:pt idx="5">
                  <c:v>188000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11-4BF7-B83A-6F92E28643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8229199"/>
        <c:axId val="1583557583"/>
      </c:areaChart>
      <c:catAx>
        <c:axId val="1358229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557583"/>
        <c:crosses val="autoZero"/>
        <c:auto val="1"/>
        <c:lblAlgn val="ctr"/>
        <c:lblOffset val="100"/>
        <c:noMultiLvlLbl val="0"/>
      </c:catAx>
      <c:valAx>
        <c:axId val="1583557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82291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Relacion</a:t>
            </a:r>
            <a:r>
              <a:rPr lang="en-US" baseline="0"/>
              <a:t> Ventas vs Gastos 2026</a:t>
            </a:r>
            <a:endParaRPr lang="en-US"/>
          </a:p>
        </c:rich>
      </c:tx>
      <c:layout>
        <c:manualLayout>
          <c:xMode val="edge"/>
          <c:yMode val="edge"/>
          <c:x val="0.16475172506499497"/>
          <c:y val="2.53110233160363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Graficos!$B$4:$B$9</c:f>
              <c:numCache>
                <c:formatCode>General</c:formatCode>
                <c:ptCount val="6"/>
                <c:pt idx="0">
                  <c:v>150000</c:v>
                </c:pt>
                <c:pt idx="1">
                  <c:v>180000</c:v>
                </c:pt>
                <c:pt idx="2">
                  <c:v>165000</c:v>
                </c:pt>
                <c:pt idx="3">
                  <c:v>195000</c:v>
                </c:pt>
                <c:pt idx="4">
                  <c:v>210000</c:v>
                </c:pt>
                <c:pt idx="5">
                  <c:v>188000</c:v>
                </c:pt>
              </c:numCache>
            </c:numRef>
          </c:xVal>
          <c:yVal>
            <c:numRef>
              <c:f>Graficos!$C$4:$C$9</c:f>
              <c:numCache>
                <c:formatCode>General</c:formatCode>
                <c:ptCount val="6"/>
                <c:pt idx="0">
                  <c:v>45000</c:v>
                </c:pt>
                <c:pt idx="1">
                  <c:v>52000</c:v>
                </c:pt>
                <c:pt idx="2">
                  <c:v>48000</c:v>
                </c:pt>
                <c:pt idx="3">
                  <c:v>55000</c:v>
                </c:pt>
                <c:pt idx="4">
                  <c:v>61000</c:v>
                </c:pt>
                <c:pt idx="5">
                  <c:v>53000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05-4D4F-9A79-847175EE9E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5057519"/>
        <c:axId val="1921775631"/>
      </c:scatterChart>
      <c:valAx>
        <c:axId val="1925057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775631"/>
        <c:crosses val="autoZero"/>
        <c:crossBetween val="midCat"/>
      </c:valAx>
      <c:valAx>
        <c:axId val="192177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5057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[Pestañas-Excel-2026.xlsx]Pivot!TablaDinámica3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Pivot!$B$1:$B$2</c:f>
              <c:strCache>
                <c:ptCount val="1"/>
                <c:pt idx="0">
                  <c:v>Carlos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Pivot!$A$3:$A$6</c:f>
              <c:strCache>
                <c:ptCount val="3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</c:strCache>
            </c:strRef>
          </c:cat>
          <c:val>
            <c:numRef>
              <c:f>Pivot!$B$3:$B$6</c:f>
              <c:numCache>
                <c:formatCode>General</c:formatCode>
                <c:ptCount val="3"/>
                <c:pt idx="0">
                  <c:v>15000</c:v>
                </c:pt>
                <c:pt idx="1">
                  <c:v>18000</c:v>
                </c:pt>
                <c:pt idx="2">
                  <c:v>22000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5B-4F3E-B588-D07EFDDFFCE2}"/>
            </c:ext>
          </c:extLst>
        </c:ser>
        <c:ser>
          <c:idx val="1"/>
          <c:order val="1"/>
          <c:tx>
            <c:strRef>
              <c:f>Pivot!$C$1:$C$2</c:f>
              <c:strCache>
                <c:ptCount val="1"/>
                <c:pt idx="0">
                  <c:v>Pedro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Pivot!$A$3:$A$6</c:f>
              <c:strCache>
                <c:ptCount val="3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</c:strCache>
            </c:strRef>
          </c:cat>
          <c:val>
            <c:numRef>
              <c:f>Pivot!$C$3:$C$6</c:f>
              <c:numCache>
                <c:formatCode>General</c:formatCode>
                <c:ptCount val="3"/>
                <c:pt idx="0">
                  <c:v>22000</c:v>
                </c:pt>
                <c:pt idx="1">
                  <c:v>19000</c:v>
                </c:pt>
                <c:pt idx="2">
                  <c:v>25000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EC5B-4F3E-B588-D07EFDDFFC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8106944"/>
        <c:axId val="1492428112"/>
      </c:barChart>
      <c:catAx>
        <c:axId val="1628106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428112"/>
        <c:crosses val="autoZero"/>
        <c:auto val="1"/>
        <c:lblAlgn val="ctr"/>
        <c:lblOffset val="100"/>
        <c:noMultiLvlLbl val="0"/>
      </c:catAx>
      <c:valAx>
        <c:axId val="1492428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8106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txData>
          <cx:v>Cascada de ventas 2026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MX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Cascada de ventas 2026</a:t>
          </a:r>
        </a:p>
      </cx:txPr>
    </cx:title>
    <cx:plotArea>
      <cx:plotAreaRegion>
        <cx:series layoutId="waterfall" uniqueId="{00000000-38C4-4DF0-9D03-29C93E68F688}">
          <cx:dataLabels pos="outEnd">
            <cx:visibility seriesName="0" categoryName="0" value="1"/>
          </cx:dataLabels>
          <cx:dataId val="0"/>
          <cx:layoutPr>
            <cx:visibility connectorLines="1"/>
            <cx:subtotals>
              <cx:idx val="5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s-MX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_xlchart.v5.3</cx:f>
        <cx:nf>_xlchart.v5.2</cx:nf>
      </cx:strDim>
      <cx:numDim type="colorVal">
        <cx:f>_xlchart.v5.5</cx:f>
        <cx:nf>_xlchart.v5.4</cx:nf>
      </cx:numDim>
    </cx:data>
  </cx:chartData>
  <cx:chart>
    <cx:title pos="t" align="ctr" overlay="0">
      <cx:tx>
        <cx:txData>
          <cx:v>Ventas por Pais - Latinoamerica 2026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MX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Ventas por Pais - Latinoamerica 2026</a:t>
          </a:r>
        </a:p>
      </cx:txPr>
    </cx:title>
    <cx:plotArea>
      <cx:plotAreaRegion>
        <cx:series layoutId="regionMap" uniqueId="{00000000-5217-4562-9598-6EE6E8A20FF6}">
          <cx:tx>
            <cx:txData>
              <cx:f>_xlchart.v5.4</cx:f>
              <cx:v>Ventas</cx:v>
            </cx:txData>
          </cx:tx>
          <cx:spPr>
            <a:solidFill>
              <a:schemeClr val="lt1"/>
            </a:solidFill>
            <a:ln w="12700" cap="flat" cmpd="sng" algn="ctr">
              <a:solidFill>
                <a:schemeClr val="accent6"/>
              </a:solidFill>
              <a:prstDash val="solid"/>
              <a:miter lim="800000"/>
            </a:ln>
            <a:effectLst/>
          </cx:spPr>
          <cx:dataLabels>
            <cx:visibility seriesName="1" categoryName="1" value="1"/>
            <cx:separator>, </cx:separator>
          </cx:dataLabels>
          <cx:dataId val="0"/>
          <cx:layoutPr>
            <cx:geography viewedRegionType="dataOnly" cultureLanguage="es-MX" cultureRegion="US" attribution="Con tecnología de Bing">
              <cx:geoCache provider="{E9337A44-BEBE-4D9F-B70C-5C5E7DAFC167}">
                <cx:binary>zHzZktxGku2vyPh8QcWC2NpaYzZAZqIWrlqo5QVGkRR2BPbtj+YX5rV/7B4UJXUlKlXoUsushw/d
VCWzHOHucdz9uDv+/mH624f80/vmi6nIy/ZvH6avnsVdV/3tyy/bD/Gn4n37vEg+NLa1v3TPP9ji
S/vLL8mHT19+bN6PSRl9yQh1v/wQv2+6T9Oz//o7flv0yb6wH953iS3f9p+a+etPbZ937SOfXfzo
iw+2L7v16xF+01fPvv5U/eN/f86TD++/ONgiKfGX8v2zLz6VXdLN387Vp6+enX3j2Rdfbn/vg2f4
Isdjdv1HfJea58QolzChnn2R2zL69eeOIs85YZpw4pK7P/Q3oa/eF/jik5/r7qnef/zYfGrbL379
/z/8NWdH+sN/lbTW/6wt366HOby+O/2X59b4r79vfgB9bH5yz2Bb5e19tLXXy3/8z5R8sL8p69+3
EOPPDefCcCXOLUQJey5gPOIK85u4z7b5F57hsjV+/+JG/7//fKvxlz/85zX+5lPzj//9TQH/vr4d
+VxLY6TRvzo+cc/1rsRzqFwLJoW5+4PPP1/Hz9rffZ7Luv/1axvN//rTrd7fHP/zevdtboufk78Q
jFxgkTFUGr7ROHtuiNaUu/ozFslzjf8rT3JZ6f/85kbv//xgq3r//wDIvPtUflr6T/lfqHv9nBCq
FaWrCdY/m3gg5fP1M07554+NPrfBv/RIl41w76sbK9z7ZGuGd/8XbkCc5J9+U8NfgDycPleScq6Y
+lXJm3tAn3PYSFG+vQB7D3JZ8f7nr22U/utPtwr3X/znIee/m2hF2r8yAXK4+xxo7xr9m+dvHR+f
S8W0oPIz+ACc7sP9v/RMl/V/76sbG9z7ZGuH//76P2+H44f+/Ufb/KaIv8D14dncKCnVNtia51xK
xGPGLqah/8KTXNb971/caP73n2/1fvT/83oP+vcdapO/EvepeC6NMETKjeYNCgChiCKGfgajDeD/
S89yWff3vrrR/r1PtvoPvv3P69/vf/4LQy4ye0IRUH/LMwlKrPslmCbPNWda/Y5MW9TfeZrLyv98
ho3eP/9wq3L/u79C5X9ca/1emB7ed++PdxXtvXLr8U/vDoeae/PVxwrjz6h9/fGrZwKa/L1MXn/D
GaLft/Jv//rT+7b76pmj3OewmJSaICFlhFP27Ivx091HGnFCUMYEimZEcUVRlJW26eKvnsHQTEkG
FKMMP0d4f/ZFa/v1I9TfmkmXGS4VkcLlv5MJb2w+R7b8XQu//vcXZV+8sUnZtV89w42tPv+ru8cU
BL9JC+5SahjErCV99eH91+Ar8I/p/7N112Vt1w1B2+r51HAaHZKYLYd7yrggRVyQYjhzOf4HKaOA
196XUjlWVaPMh8CpBu5Ntc18RuP0kDjcfE7aPtfnf0IUtH1fVJqakShaDAHi9wfRUXMIdej6UZOR
m8cPBeNsVSc4ijoEGSUMrt25JK3H3M0Z6wNrnehArXBeFMPY1l7WxVUwGFMFRUvaExLk9sfRNBw4
8buHXTjpBdMJ5H2rVpHeAXjP5VPWhCZ3xj6QPZMecUzqqZDbp5tOuPBaqRQOi0z/XEpbxS0Ns7oP
aOU4t0taJzdRwRyv6Wb5Ofz9oekuHchlCn4oBFNEkHNRdCy0s5CyD9pp0IHioTqGseHek9UmJYcz
So4oxtyNL5a8ryKtwi5gJDSvc7dT3zAjy6efRSrkgK7hriHMbJyjV2OS5JXbBZXu3NvZTuHb2bTT
jhTE060Lwi5KCOADEbjI5xqzHdOjHVkXRKxsrmvqdl5VE32dd7m6iYxWfq9icygSEu1IvmArqZmQ
EqjmMkk3kknqqKIruy7o+7n3HetWxzGR85Mvs4LyAJ2oILVicuMRaiE2qQtWBWVIwetNtfOCTon0
ab00n2vuP3S+9YHPgVABaqXrwma40WwjKjRiJm01VUFNC3WzsF5dF1Y2r2olyuvHPfCSKEXgfUS7
IOLERnddOcTuUiQVXJyoQ9k2hW8dlp6chTlPNpMC2/dPUQhi99GQ19PsdkUOUV3Lr6ybidspKvYO
9NAZzqVskGgYnL6qGscGBcKVZ6hLXyY2yq7+hNooERKlLmPK3SBRUqRzUUcRzrJE85WI2egZRySH
lBTJDuhdPNA/RW2RaAjjLmwjHCiclb5WkVgCmbBP/9Z5tkFR9ryu7GJsUKWFDuKwV148OvTQtkO3
g3mrmbfOrfSas1NcV+OuOHIvyoPGCeeQaBukrWiCqCvEVUK64pTo4gPQMN+x1EX1GfQCJJUudwU/
FxdHzpJ2WtkgV4lzcrq49DNHZU82Eqg9l4NVZcJdMehcSj04qiwKVQZZ3L3rpyE7VsYdT080Eqeo
4iVXUsNtEarPhdguZUnYkTzo9DD4ksbdRx539SmsGlnsWOmB2u5kgVVgSmviqo3aEK1Ci0wxD6pB
Tu/DKBw8bkRid8TQ9TqeeQPkMOJShcRTcuNurqsVVBdx2eUB0Vn8ypEmeVHO7XgcM1G8WJqyf01l
PL10+Fi/qPOMvc6MFt/3fbmkPnW09VoeLy9V78RIOKb0FhGg/abkc3X7uO4feO36nFA6Ag3XkpKN
PkLWJyLpkjzoo9781HSheEWlrQMnctWBpMOT8w8OWeDwoRQiqNgCjMuSoWwjlQeMOu9mMvJDTtT0
VK+FEPBxBJJc/FmrgftXMVvKUGSkzoMszJuTKurhGIqh31HdXbja2HgNmcRFJYgc0WyAP697Tpze
yYIWZnpf5TGfD9LhJfNKV1de1abV4FdjQ/xyKaYfOI9NUAtJvgWSMy9mbfWNphF7Mc61elFwKMKr
nWHMvGJolyOVzJ7GylLrkWmo3j5u94f3gDGQZ4q6Ep1EXPBzFTE+LxZBJAuyfNZe0Xf2qnFmvXOz
H+ROnDGOAsuVzJC1MjuX4kSG9LrusyBsqvDHuUqpb8c5Os2DTG6boWlehOP8SS1x983jx7vLjc5t
A8low638IRoX29yQV6p0tOzSQMVxOnnTlPJvxDKL97Zq5sQfe6UGT0s+vZ1TktlDXc115ldtFi0v
Km1w7cKuNT9lk65/imI5T34mWhLFOzjx8PqhtkB+5xpoCWzmJmj0oqDjFCVZsMicH8Y8/UnEJffK
rpj9eeH9jrhL9hDAvbV/jGrDXb3iXozKTWRNQ5Y0yPqQ+0UpuqNYSw9fdkkYyKxyf+qzTAbVLMvv
HrfIJYeDIyAVQ64ugfLnomPWpHMb92kwhdIeu7iTPnPhf49LubvaG7uj7FAKmazSKLk3uFsmVo5J
k6dBnTZN6eWEzp4ciunrtp3cG5U0/GaeafzdEsehb5fIvR7rIXQPQ9lN14y65qlhmuMCrDWdAF0H
EmAT2xK7UGormQRtQTI4vzP6TdLvudEF5XKOXECAq0C4ZhvAa5Z5WvpcJEEfO9MxYkV1pGmf7njP
npSNCWkSzn2FcBGMsyqOGeK5x8rM2cGMS1cXN1eDK2HaAMA30BRat9b97MbBPBSvdUn4N3ESNYUn
YlHnXqzqvvWrenalVzky+Ta3pPddy2x80qkk14mRtsRfDfvIcKl+qSaV6MPjbnZJE0K74JUAoGh/
bvTd2cShUajjIO3H+apY9PLGzXl6fFzKetCtL0uq4couanWo4/zKZPVCozRZkiDJivFGmLr2HNPH
R2Tuw45pH6YrDBip0UokZgWHjah4zFuW6S4OwK78MqXqdZu4qZd36ruqCk+pZj8/fjS6+v352TgD
pYL5CcbBjq39hftIFGs6LM1UxoHT1VlQ9MkceUkYdYcaJfxrSpcxcBrZ3U4psd4iovJUWR6/gSnF
948/ykMt4+bg4jAiuYsUdBPFKbNkNlkSIyPMl2+lTukh1lPn8UQWO2DwEO3PRW3AyS68i9MBohjS
6pMyRXYlaD8HU2KiF7Kv3X9T3hoO7sE9dduB1CHkkbnMTtJW/GOSZZPvEjl50jC+c3UfsHUAIbbm
dlILAW1uACJFrtMZYuOAxyG9qjPi5l6ikij2w3mgL52yyfxRVeUhDDv9Y56G9JfHbXnJraBiV4O8
NVpKsfVjnjl1S+HHUc3qt83Y23cKBLffhyG/HWHlY62KPMhnN7sxUR0eex2bzKuGp9IP0AQnGm3h
O35KburoeLLKRHkTB9NIwePh2vn90DdeJHOyg0WX/Bf8lxBkJUpBuJ0bOZyGhkY2ioOmEZm/zEnm
ZfOs/ZxV8w5KXPJfLkCLM477AgLxXFRn00n3uYqCmsTxDY+n8Vg0Ijymc+J4c5ynO/70EGZBuaKI
koYCmhARzuVlQ+OYOuFRkC2xvS2bgf5CVFnusFIPsQ9SkDOAZWY4Gt3cknpKq66tSRQQGw7fV7nD
vD7i9MTUEPsT6rJD1aR7lO/Fo8FDkRwIji7EBgoicI1INcsoyDmpvllsP76NKR93AOBCOsQ5+uMI
xa6LbPbuvtxDAMfR05Q7aRQsuVu8zZZs/hABFm7mlIev2Firm3ZW8dEtWQV+LC39oVTTG8V14Slb
Ljv+Q1cA2KA+l0jrGO4nqNRt/hnXCwAkLaBqbuzrDBncuzJeHETQtvZNmvGviS5F44mZ159sSvmR
FLN7lYVp+rJiUXTNyyzei32XTCG5RqmOUYKVbz33soLQ0UmcOgqayvBPhJSDX8hhzPcOvxY7Dw4v
xTqehsoX4eZczjzyuZVdHAU9/OFnyypzzJumujXFIm6rXtrr2TTxtYla51gVVfV2meZpL1OkF59C
M80NyjFkL5uEFL5g+lA5zonP6fJDOTaun9qyP3Rx3vp132lQwCY7dEuavloSVXpFYuwPj8P0BY2D
csC4DIgRjXpgo4lBAbIqVzungqjsraOJOGqTNTvOv/6Wjb7RwAO0KkCHRjlwru/12sWyHJ1TtHTv
nG5qXyZxcSprMQG/zDePH+mSMFwvCWRcQ+A6pnU/1PKk4ks2dM5pSrP+hJJUHZFPiDciL/UtUD/7
+nF5l1QI1Hcxd+QKovgm1MYm1aLPexyOm+Uw0mz0nURlL/+EFHROhbvqEDTB+an6ckTi1DfOSfU2
9yqZIhcMpz265gIAu5ikRe8BfwQarudS0OSIl6aGlKER6Zto1sXRtOvdJ1Hr97YebzEQnuwcbX30
rXfcF7q5B1E+N323oHpJu8V92VVjd1t3swmG1ro/Kz6GV63WQxBWoTo9WakCsROZttBg2bfdvqx0
wOckkXMyUewGZADqL0O1BI9LuZAWwBkNOEgOYZqvn99D/iSTdBTNZE60kLk/NUvkC2uYZxOa+o+L
uuCLiGNgcBWK7hXbz0UNYUPzMW7MKY4H/Z0e6+W2qbpxJ6VaG/VbiyGtFMjV11oIfz0XwzpLmqXJ
zUk2fDpN0sbFkYap9cpkIh84HcvTkpLko0x1vviTGKIP1u3pK7aQLFAyGw4zYu6btudO5NFFNdSr
AIR+OyzVy7gU+jD3/fh53O4PW170AjBoiUJRKHNXyW2UQ1DUhCpMzElkefXKzcc2DBbKG514uuiL
4ip1+nj2wGbOXyf54g6eIXHyIXNs9jXLRPgmnhVLvI6SpfFymLzypGt56c9j1EdvHrfkBadZU+eV
jQLdj17GuYrrzPTSob0+OUNJj6YyiTePTn5UTZPthMMdUdu2IxlNJJtu0ifdJtNrhIn2mrFpfFlP
S7hjgz1Rm6s+D2MYKtvpU5zp9tsya8iVQu/kRR334585FUczlQjMK2CM6FyBvc2i1KA7fOpJ0/QH
XqVx72e8MV+HupDHx6114d5pJK2wFOAZedXGtRwwPsM0N/rUiW7xnVgvRzOqvaTtshSFLHyN2SDW
z4+UQ/ycNvAJMPe9Z8rW8aq4LHYw5FJegsP8U8zG9TItFjLltT7xoa7f1VONtnfouC9oRX5Ju4i+
56HowQkkwie9LHpPyjZ7OjJrjRxQrMCJ6br1Lt/DzFHlNHRJC/dvCscjgs9eOI9i56gXFYqJbomJ
DxduslHospiMJlkFz6cJDfBfMbRaRFd/wjmQGxgJVhn8+8bp9ZzO4VCU+gSS/Jd4qqMTLethpwVy
8Wah0F47ICjU3E3k7kHioN6Euyd1776KYyd/NzpaBG0V7lFue6I257FNoZtI4hLXWVfcUmTZQeeO
i59OVXF4XHWXRGFOYQ2eKJ1wt87dgMkhXod+9Gkgkb2au7S9meYyOZixU3/iCqM7gTwAkxEo0zYK
bNF0A7eJK2wJkcjgbHNE1sF2UOlCgqXRg1GConLDPNsGlcKy7bJySGGmcRA39ZwkNzmm1a5cTL17
CdPN7VDG1fePa/GiUGT4GGsiCjTI5jINPXXKIZPqlA5jdVw7YEcTuuOt7brlNWjjDq0GnuxA/aVo
i7FwTO0JFHSQe266qjFq0DO8vkoz+aoYR35i2qmOIu/VSxXz/OmIYdAeRyoHdh8T0etdv4cYQyaW
inS4y51tykOfdPYg7Fg/3X7gwSm6B6BMMayzcUiXUzKTAVIoyYbjGBF9KFFTHGhVl36TdfV3ten3
AvQl7gD9GjDPAjyFgTbPz5baomoGaPqEhCEt0Jpk7VsWJaU9yb7UP/Y5MNKtePkmait5qpK1ozZK
6t6WWcSuHeQtO2q4cC8xTEYESGP06fUWODnp3XlmXJ2MDZNDMfeNT0hYn1xj/oxdhaAuGDwMwIPx
Oj+7iyHNJsMM8KnKmuTtMIrYc6NB76S0FyIBeDvk5mh3UKTQ6xW65z3SsSNpAUCnTsFHe5IWh6Rv
46fHG4MwgwFUAzkYDj2XEvVLm4YppFQKjG+q+vdLM5TB47f90lEkkVjAA6nvouN1LiRTA6nygqpT
0qbLkc+59hrhPnnUajUGw+AYJlHWGnqjMG0WluT5qE7cNI1vmNXeqON+xyyX/AzTKFyDFDRr3/r8
LJw6eSPjVp3adtZXoxPRm9CJi7fckObpoQbIjzhD1+4drvi5qCUqcz7OsTo1qpQHGcnk6KAKOZUx
cXcsdOlUmoCfQHvIpXCEc1FZTAe1TJE6YWKhOix5V1xVVBWHyBl3k7kVkDbFNdpIyObQ9cSczZYo
pjTFnDXGPE60EddJ5mQes84RJPUPyukiz4nUd6XRvV+XBJjRsp/Grv75cYe8eFxMmcBRXMxPbieX
wjEJswy9QKBXX56s0GD1Mrc8NrUZd4y4pqYPTovsGNQFIFq5m0gnJt1lBZnlqa2YcxtZwQ5VxGLf
hpS+FAkrvWks6yNm0oe3um6jPxGDEF+FQY8Q4eEus76HIpHpMgdXT55ynbuecsvOH4CVO+D7sLVi
1nV0sQYCLKYLtknQrWPKORlqeXKscb2xTMLSw6q9+ujQmt2KhbqHqg3lsbGp/a4f3eGUlH37xk0X
Nu08ywOwwaMANDEqg+klNO/Wz++deKkpm7Kpl6dOk+LWlUl+Iwfy/eMOxB54ENg15mrwlCjfEW02
Zh2ryeED5tpPrrT9fFzqntbe2BQYvyRDP510SeePIc+QTdXEoRPYhDF+NZulUp7icd54o5vQ6dCN
tpiCoSNmCAbRlr/YUWXCM5NCVG3CarglfV5n3jjTbPhmahj5TrVo2x0HOlrXKwUdSs/BlMoOzK1g
ed9tXXRVVgYWejSYW9ymudFsxkrXwxAoXduXLaoFvyx14sJbF3JVDUgrSMqcT4+rdavVO6kgibBP
jHkXtOrObVeJKCsYxTKEbOr2mGZ5dJDdQLyyadvj46LWX7U5IFAIwQis/l3YOBeFjYtQaMQ6zIIU
5jS4LH6zLK7yp4g5b+LKJacscvX7btHZztrCVrVgRZEzYUMI08XAnu30n4mdWLByGTAf4M6/gJf9
uJCqOhRNVF9lUkdX09JO7x8/7VaxdzLBPCNFXAWrzf2M1Vw2bIA53bxhhyWaUo/EVvsYr5t3MorV
8+8rFgycSxSGGgGuAHi+ESV06kS8lHUQIoyecoqj9Zbg/mPi0XNkaXbUuf6+rTxQ+XBVd22rklXd
9+47S+xcDENfB1PJ28BObLkeorSevD7JpiONx9RDC11eT4jbt2ixx+7OgbeAsx54JVkY0AaQsGU4
a5PmOpR5HcxdqzJPIMB5BZmKZAfYHvoNogcaExrZx9rB3lwO3WMZFshbBUYnUelXJRs+THJYVw5s
mVxr2vNDgTnS4KmuA7Hg3ddtKITt7ZaNGzJUj2jJBNmQ/5RrnfpNVX+7ULW3o3RBj6CLsHAFigzs
2NaQvNKjU9PZBhNS6uuiltabI2e+evJxBAaiQbsi/KN02SS8SzQSWQ2NDcD1jN+PPHSukXuXB1I6
2V5N8vBEWCvDi0BwHqxRYLrt3DUXmjUmnNMyiJ2i9VzVUg9kTH54/EQPLxxm9hjodWTXYNi3TTti
Z5KARCiCOurTg6Gd66O5FowujfzWCZsnuzvErd0smAo+v3X3KW2qDK+kKQPHDsbH0FB0yrNpbxT4
wqFQuAogFcfNAko/UF26FLGwQS+z72WxcD/N3Ku2K1JvdNiwo8ILhoKRXeqydbQMC13n0vDiHSWQ
mdmgmcjylnd2Po2GPHWsdi2w+DrtikwQDqHXp7iHVG7oiIHW1AZ1lbsvxpxO77gl9Y59HkI9pIAR
IBQBRgCDz6Xkczk3eedi1WAh4QkbUKDp6eAGU8HbHUS6pDY0GTGAhkoI77rZHCglos4yh9hgqJre
I5j/Q5++X06P+/clKfBuDLAwFMRym4o4ILJFPuVY0xhH6rNq6bBw4Ow13i45nEZJh+4shjExpHSu
NjNZoEBlymDMav1DPLf02M9GHjMzZH6j6nAnwbp0qru9NEQN8PPbWdS8p0VWs6UM+hRdK62c2C9i
509cVjgCZjvg06AR79LYey439dXIyjEvA4vZomPZ5pjbl1Y93eXQEMLCBBYFEAvNxuWwLB01NOE2
iMehuEKRURwXqA0Dp53ZEfWgFYBLhMJRgXbB9CPYhA2mVnmXFE6KKAGGtvN0qjGkzL9Hr/bnJs5/
KfLhNu7Lb+xsbquk2WkLX7DZGjowsQvh60LmuY+MTZiPIBdsYPpo9lM6VJg4LfeOeOEC49djOhnT
nVgslOxcCgMstqFrIcW2GAjuALBpm79NdLMHew9TJ5D/Yt0uRYKPseuNJLPU0sEyhA0whh6fwroX
nm55H4R5m77iS8R8i/mOK4x9Rl/XudvuhOJL6kRPH90OLGliRXv9/J5zYqVXVXWf2EBZM/uNw8QJ
zdBux2MuXGx0IBCCMYtLMVKyOSQSjYKIAVtKcSfaN+niYMg7WdwalUzGC6/MyLAj8WGiptGSxBaR
RNKEBgg/P1dGi9IZgMNB3s71LepDVH+RdV82NF1ib8G2sIcBg7rZQeOLV2N98QNgHy+BwNzsuVwx
RW3phDEgbFrQnOoT57uoKbMb3TD3w2TdxOv7mL/Bu1qaG4ZM8V2PKZ+dh7hwdoEpOYQDJIvoP67W
uGfTxC1G2hNTBLQzzk06pflLl4DzbkWH/dGUDS8xEfDUGQNgAmb01uiAV6sBvjeYgIX3rhkrZEAN
Jseu5iw2nnKi7unuKpDjr8tJuCqIR5ujAa21KFgRkHqO3i5x1R0cMAvHx6PdGmfOyxkNGgXJAXx1
teOmfIqVKvsyH4sgrLvktV0q9hr7quVharv4EFbYuUzr2PFs3UeHxyVfwB2Bsm0dveaoi7ezol3R
s5Q3dREUFas9gkLJy/hsTwsj407N9mDWb7UYCGeF2499EyRD57rETzE8NFZF4Ej5gVblC+F0L7vE
HNK8ecO64UqOhUFGoa/ruT5kTnqseXTVVPb7x898AYJASyNnBhGJ2YYt/c3KOio7BK2g7xsgYFEW
Xpdly47nXNAsdoBR7a+VFMafNxCUCV1WNFrywBllcxWOQNJyHL53nGLeseEFsINCUXWsc84gwTd6
7ebcKbMSQ8xTSROvVb0+YIrFm5PpVJRPbonDiusiHZwVCQbymE2SzsOJ9l2lsiBpKnLI67L50R3G
5dXjNroAKWsRhcUVBF0DIvzcVwoVjQmnWRYIk00/xRNrj/MyNJ6dUnOT1wO9SYeI7u2C3kWfzUVc
c3SN0QlcRSQc52LjxaRljL2NACOpdvScPsuDAhs7VyqXXZCm0XgMi5m9XWhBD9hJQMvZafLT2Lro
1Qqd+1G18ECEtdrJQh703qB2RDP0fNfKe211nD/Z7OQI2jHyK8vt4KVOqLwsLiOM/pgX2k1fhWGS
nBiJXqu4eJGW46ui1sxLxfTxccNcuDyY+QBPiAQTifN25iptSncQNfbTHNnRm7419Wme+2EHEC9K
weAtWnvwAYTT89OCapx6UTpp4NZji4lo2dyEnfjw+FEu3FAsNK6mxjT0+rKYcyFtmevKnWUahJi2
O0xxvPimxY5Ub/odSRduKFo6cGR0KXF5tkPXfML47ZLOaSCnJfOjBBDXqgjWQ/K/fL9E2V49+ICb
h7tgXYpiBGOdKMQpt2cbs3xIsPWmlyS6EXwqrVdETvLN2EUiqMyUH5wpaQ5tro03zXN828w29ReZ
FDuee8mUeGvOuk8s1p7W+vm95GBNliYaFmlAydAcF1s4voPhyp2R/Uu2BDOvMf26vuxz24vQKo7y
2JIUm7c2OvXFUB8MJmoOs1uSHWh6eKA7AhfMgbmjIDcASObYHVVYFAF2sJxrN5x+bkeXXO/45rZh
hqyGoIWDJWKM8mLzZnPfyzrkpi/jIqhKvOHDH+cqqd+6yOXmI/bMwtYvR9uFxyyedOSNQ9XWHkIq
e71O1GNGNhyXn0H/5oPfYnKcgRNCQ+wQu1PzlrRZOwE8bPWzsCr6mMVYKcasfxF2t4ts+/lgkK5K
v8C4/cep48m3Y9FM17Mt5uNAWPM6S8eGew7lrXtCU6MsglHNS4T9qHywVw4Q8B3p2tEGrZgbH4LN
YQ4p/6nmGDjBGwl4caxkTd4n4Zh/cmaXzAfVjRP3dWPIz3HtzPTY5X145TpiqY+sssXiDZnC9CZz
I+u5ZaOSHcC5kEdD3yi9AAXrKO6WaJ1JnaYd49gQT6vl+6Ex8sc6FY6vqdO8rYqYvqSFq08YUWQ3
qiThgersqQ3ZO5sD5jGtgu1o8HXnVwUlaM7mVCDkyCU6TWxYvKkSrde5aq9cueTEq2OhoQWBbPvW
g37MetIavPWA1TI+2jnMDqjBn17sGfDk6Jvj5QZYAmObA5mKi7I2TR7EWcivRDEOr3Ks1u3c/Utn
QT6Jtdr1jUxo0p+rzY0yqHQZscRV2W/JgH2KMCycnez1IcDgxTH3hGyOErM5ibMZQrIkRZsz1VlQ
JTL20TvfW3K6KAqFJDpGYHcf7B+W0dJb1Qx5MESkxYJYHZ5CDKx6/TR3O6d6GJhwKkzr3HG6aFJs
UGbBtM5MZA4DNVV501Ydwz6tLYif900Ve3k57S29PEzsIBExHYTOWlJt08c0bBLTpJAo6pa/VGD9
fTGP6tBoy/z15SynIeVP56ogFPzruveEcZdtWpdlKbhME+eBHJLxZrA8QT82qRCE572GzQVnxIIJ
HB71HDrEW2JeT+OwlKXJgjkpxpd5weT7rFbO01lYdKHXHhTapiAu+SYIqbbAfGDDIUaw8RVrbftj
V0bFThS6YCzcKGQRqC2wOrkdR2qLAvk/VkmC1OaRH1c1va4TQicfa9X05Tgk8jA0Su+M7F2UKhDM
UTRhsH+b+2MrspdzPWdBhO20U+3y2qfdlL6SYUZONnLTd3IxIng84F6yG86IBpCLlxxhxfAcRKTE
ZjeIqSzoKjpcJaYLvVolT31BGRCeog0F0hRjIQjqGxSBKl3a2i4LxqWOXkxVmBeeFYPdQcT12p6X
Medi1sPey7n+P2dfthw3ki35K2313OiLfTG71Q9AJpK7SImSSvUCoygKCACBWBAb8EfzHfNj41D1
jFUmacrRfZCqJIqMRCDixAk/7n4W1aWxg/neIVF5f5kiz81Kp+gzfGWGuiBzehj7AkKHhXb5VaSa
+JcBoSLCSQqfHCR+4PxseMffxp+ncGk60fSHdYrVnYHJV+XiVlTO6HBn5lheepS2n37+Bt+4IqGK
COwUiBDcxJDQH49K5oX2XAh4WSSGiD0OmuKOcJnVXTNH322ey2cj/ewaaZUpQ793F53nhYcUKsdb
nw7NmRX1RhhHERDkmBQG9Rtp5PjjUMTO0Hm8P0DabitoLsf9tAT+TnRRd2afvrF44Um4OZtg8YKi
exINaN4s4ehwKUNWocq+E8N+6vW5HOmtB8o2fCpGQroRCI8fKCa+9BsoLw/N0EHRva68nvw+v40S
e64S+OYDbQVb5L+4vJxezTLmN4FIMFQnij/bNJ+ufNKdE3y9EWciECMgKMYZCK7WyQvSroPoJQ/7
Q5Q3BLRx4fZ8WtqbuFu8qmvT9BKUz3M3s7eeDCgxMi7A8KhEnyQrfUOZLjBtMBdobBnkoX3vDBMf
f74X3jjXUQ7EIfsDJC1OL12wNmvikOLCmSXEvhvaVt5PfQN/Ez0VqlJNlJyJOG89VgElK6pp0E2D
TXi8NvpFcGVaCeAkYPkh8eK59hb/nDPhW1k6bpIwN8PUgY17ij6Mnk9NPJj+UIzGXvmddZeWBuQm
4nq4b1tItpHIjJdglJOneV6Tuu3oyqqfT+4b+wBTC481OGQBBjk1Wpv7GWzntUWcydf4U+H1pBQ+
jCtkY87JKd6YVmy2BAUbPHSMpXo8rdpq63K6kMPE/OmpIDFW51xMu58/0FujIBtD8Qz7AW5AJ2df
H1pwuJcBZjFe8KegIGZGAk4FPx/krVkD1WOTJeFgAFR5/ChAloFzTB05uKH1KsB6ppqCdClpGKkz
z/PmUMj30mxj4b/S09DVTqnkWXcIOu+LaF2zIza897y++R+sBEDauKdj0jak5fiZcPpxs2QwpmFZ
2lZsmf195EhXBs0v60KQOUC68wN6Qz38lR9LDMcVGCuE8MCJBfA/CQpr7LX5/ucv6Y3EAeZTgFsz
1N03+urxA/UyMTQE5e+AOiBsI6CeaEid8SGd93inbm+XNFuqBgSYtbQjRB64jHvJGQ3Rq+CFuw+Q
j62ys2liT++mG4VUtTP2F0w02Tti+rkyIO+WyBSzHaVTcwapf7X8t/FAtt+g1U2DdRKSCxVIWF5N
/cFkGa0L3+oyj1V7Zv2/MQrqARgKdTJA6MXJ+o9TuOriwk0OQWGfhafNzg9kcybx+qHwO8r8kKYC
88O9ADgj2EcnmZfvJCBkIsjBA5bAUQOYwQnxYHc3dnP0PifFcJfavtmFsfQOWR9oUlIZ0tsshM1g
O88DrYrA6Hqd27kcBVxfZWTd3oFMWI+J5+0k6ZKqE3r1qiwSy723kPRMIvdq+27PUGwwDLI4GCCf
zBSFs6QMFWYq7tQ874SYYmTJeTqS0iGh3f18yYfblBxPGaTK2FAoiWcoGp+qWmISD33rWTizhCE8
HtpF9Pu8AUR6hbZbeXM1ZxvpdpQO0oLGiW9yXdq7glkG55qFeWXeBPkVRNvTty6NvANbQkfLuU3Y
LZkyc9cNcbvXuiG3bLUZWK16Kg3MA6spWuNLpfr8MBlfXlAbR5ei8Z7Aqj6np3+99vCIsHaAnBLS
K0T5421NAn8KwIyAmRMbk7tlmPtyiDk5s49+qI5OZxK+2OCCZBBkQDN5PEzaR20w9ro7NCEpSr2G
tc/D951QIL4Xn2YdXsdZcw8nvrGMaVzjVnxZxKMpm0lW3bTcu8k8NgaVDetbv5RW1mLUUbnArodF
7gz08XpONkRq06YgwQTx8GSnQP1deDGKjXU8mcWUE4upKKG08M6sr9fRDONsFwAQSKDuPE1Z2gGW
GTAwyGvarNEHkvXTVwbYn6JWP9L3K1DcMwO+9WCbrAPFTbDB8Ov4LQxz5qTG0VA3hfEuix73rsh1
468mfODNbWyHTVu3VY9PllRSEKgSUeyAxEHay1grstuc9v4nz7L1OkKBBGjAqSY8jZhaOcWz9Grp
bltf2JLTgZy5Pr0OOEiy4EGzXRuRcZ8KE7s8ZGawUIYowcUuFV1pcvYygaBy5nHeWAtbNgeCHkzO
AFeebBAVtYp1c57WU9su11aMuIJHGe4eJrEfxZKe2/dvj4ezZuMfggF+crKROFFUIMuqKdQ9f1oN
o82UwgRKwXhzb1mQnIncbyy9TYgHQirObdCjT/bUOkwqgK9XWuehCq+bLun3wIxc/fOI/ebrQioE
nijEa7AOP17gEO8XsC/bnioCe6gDJ+VijhYHj6D0nKD+rQnEWYTAuTHdQFc6HipaclgPRiskLkB/
r9ZVRO+MQ71jvUlkz88sw9ezt9kHwgYIlXUE0VNmliIJY1FDolqGS1p2UuJFWS86k+K9nr2tDIeS
KsBQHHY/jsO/YTOsT1aHYcI6F8XXNR2CKgFOW0tITs7geG89DwgQMbJjXArBkj+ePCXMiIgQhrUs
vBFE+UTvaDs2vxyI8Dwgv6ImjdeE4+14lCVqfdu2UYgydN+XZNDBR28O9OOvrjnQgFCSA2sNYCh0
oMejFLCg7Fhjw5ovsD+EFw2pe574H+Ywac4M9ca04ezcRLbgHwTBqbZ3jWGGzHIXIu8Wl7OJk2tN
s3NGgG8OgpcDkn+AnOB0rTnR+LAoxiDpOC1A+7P8iljvXJXpNSS3ZR1Y0Ug9NlrFKao6mREer5QG
9ZpP8lF2aoTRig9byQcvRmJ/HzR2nsvB5wN0as3E/ZJDW91esnVeYTS1wvZzv6aJORcYXz8+sqAf
9EAQOjf9wfHr9FuqLIG2oo7bdHgZQbpE/d8XZyrFr6MHYHMfSPYmf0XZ/wQUKehC5zGZfEwy6mt5
vsBmvh1vTCd4ldBRntnZbw4HOScq05uX+amTNqRZULrQ1q+xYdbLicdhTVJ4M7WGdqXz6Tlf1leT
iJnbEgDkNjg/wdc/nkTTkFjGU5zUsUmLEpT+ae+v8Tk3w1dPhVFAE8WpjKsZ1IYnUYT7KwzodJ7U
80K+xUZllZyXGPYB6tnzEnrm7vnWMwGkwFUgjTbY5STgO076WUg/qR2Pxwou9HzfFtF4JtK/9Uzg
nSHpBHUaAMX2Kf4WgwWUioR7cVwXXdoeXIEqQGxWeznzDLTRuDtnw/nKfP6H8DZH9AILBXeq06ob
0SjbaPil1r1oUEnkq1EN+ofMo6xWEYMOEMecd4CmQ/i7z+sYJqWQrf2EZhxJv4P1HONVZMJQV3ln
VbAfWeBFODgEU6W2CqTs0fLlXJFrC91H9wmUDnBxAZcdghAU5092qe6RSfWBiGvZju7zBNLFfpm8
dBdxSNngm5TfONAGzlyhX8esH6PCZRgIyCYmPTlQtMtXP2txP2nXbrxjiymuC5h9XOdjbi46gfYR
5ZAyu0ta7k2YgzSvAQSyu5j1zVcTpfri50fPG0sSwAb4aBBOb2bOJ9ushc+DiXsI9Yupi+8WuAiV
/rjMv3qM4qlhGAqTE+CqW++S4yUJuEyhvYyCO4aKl5vY8hQoVhb++vYCxQLnAZqpBRlQ3JNRopDA
/GOI6wVNOKrEwAFbx1hhP5+xt9YNXBRAUgyQH8Ir+XiUcPKHLLJ5VKOxA2sqmo9uFxQQSpUyXeQF
rkTxJRC9Xy79btA3BGYQxWSQSZ0KzN2QLcEYIX/zUEgsQUaAYFcV8swUvvFweYgaNiI8oiEC7/HD
2SnWvtB+WMebs3cRYJw9zNaCXWNxnpcEQbEEM0F9+vmcbmH2ZC/C/QArBKwkZNSnxn/pMsbw21yQ
MASuLfXixsfeumwf8CUHpNXoPcsb/6HJl+8/H3h7Wa8H3oolUH9srpzHzyuCDL7liD3IivW8V4bq
uwHe9JeLToMzO+0HQHE6FrwBthsMYg7cK47HGqQmXOslqCfiQ2ctOz5WcGCb8dSOe8OuAeT23MV9
sgNjO9+jSK33aZ/1cRWvTO1hKSevcGRkVa8A+sx9HFxLQOlXY9uh90umYPfroWpWaEauBXZJ2S0h
rTQJ+HwGmX4jaKDwCpYuAgcq+KeyswIOXT7eT1AXiUwvPDf0VYPCyZmN9uYosBEJt263WPAn8zXT
2AeKooLaS+U7OTfZvWr64MzK237IyUvBEbmFf4yAs+AkAWAzAE3n66Am3oqoS8zXgtMQlmPmcplx
V//5cnvzkZATZqgKAg04JYdPJOp0M/OgVmiEUvoqyi6HFQ2qfj7KjzZxpw8FiB0nMmIh8PyTh5rQ
G0iOjvu1PyVTUkEhLb+gsRhgQaAh+VdvoN0n1oU9qVwELzfgic7O9WgAVJZtr31II/Ng/i4i1/BS
wvbzJcrm9ck20gylywcS7yGJkKTyZJyMlQTPmhxg5ofDa4z1ymG4XaRPCeVFsYujBb5m+A3iWxYF
hiAJb6KpJH08/Ultk38rUNl7CXAHfjRxbj865ZEYtJ0o/oLWDYMrofJOPsftDAkBZDAqKH2o9sBu
DXNQ2Ma49V1FYXX7Ph+Mn1doaYLyCPSd7MNI7PCllcK1VRTT0FTGZ6usAp67aRPNjKrEB1+S/T9z
lmVdPk9BbZqxT8u0BUm49Fk+fT3zal4tN3BnEWABOuGwhbr6OAYU+chXkJ/8GlezbB+6kZfOIxwN
otw5F6fXigjcJIGVgrW/uQ3/6Kn79zzQT7Qc5lWsdYfLkKhw71svcW2fcPZSSuSlk73x4BbY9Xo3
6jb9hOYj/GvILL3WZGp0tYwWKGk8TOz5l2dhM3lCAQZWR1ioJ+vTOcF7BukS+JoirAqIIncoIAZl
yMU5AP51gMdZvTUCAccGQf7UMQuxry1k0q21bAK7h1tuXHt+bsEZNOcm/PXZiaG2CzxOso2QfHIh
077yVM6SBdabDe6dgWj4Q7DGCzilcevdw7wLbXjaJYKP1c+n83VUATIB5zgUC+E7AcLW8aJKVDJ2
TeyWerHFejWw5nuRWP9MZoBV83rt4tDactZNmgHF8fEwfJ2UdEEx1w2zQ3EhCrV4exoH67CPmsX9
GScC/GGftRErU1WknwzJex/zYFOwb8XcNLuOuTHYmYT2YQnjWy8uiYoEKYPABt3eFTwJ9zj8Xbzv
EiceXbGyrrINcT04yvBluEDrQGBWghZO1O04Q4+ewId4P43NEl2stuND5WbArSUCPhxR0DOgbyvS
APi645SiEcqyjllf0SRs/xCLyb2K56bLd8XE8xvQ0Nr4Im0F2KSZZEXJBxs++lqLtjSWeshCmr41
e5NKOuyblpKHFCxiiopLm6vqh7H7rtF+uz20tEO12a9udc6gGXdRsKS8DJuQ/kEW1XwAV398MHmb
fhON9j6AleYPMD3jwYdMBMFnHencK53MR412Tgx3bDGzJAUxOLS38RiEYAwnrng3acmashiyPqmW
hWWunjsxwsw481Z2Q+EUhLrqyiBmMcTTLapuOS5kgucFucP9i/r1agJ1D+x6huZj7fyPwuQjqQYe
mQG2Fyul5UoS2pQkgtXGQaS8o1BxhU2/Qz0weB9bSaK9HcOZX9BO6k9R0kVPKIYqGHRsrG8iU3OX
el43lnmLXfOxIXy+Jt0arnsRF7bbhGEsOijGp6nK/SHd9bmjeRknbfy9kE2awAAnWcAti7s2Qpew
JXhnLEJsORDrf0IvlljWyEHaYo+lIh9G5hkGT/0A7ZOCNVTARdKuUGW29N7FLFCBLGHq6DWI8uvy
ZZgHgUnLPezTTnsLumnxGfcxU3DsYUJQTiqaSD/nTRJ/9XSqYI5BM3K14ru/mlYseDMyR9Jm12G+
AUKyRjWfTfRoTDFq5GB+p7DrW1tUaejCFI22dPd9ilh8EyaW3KN2CCcHb8zJ/Yh09H3eihF5YZFN
ZqdEDtTe7wP+LFeLPkY6Gy0ezZsbViHYWViL68hcsW5Ivg6gBaC4BfAPT0aLNd63fbt853JIPoTW
pBms1cMAVSiVLnZnM2T6FZqmAnVEC5wOQYrler0Az2amVaNa/96kHnTqKUr2ODtsS/YMkvZLmucO
zJee8O8hS5o/4fYjvkw5FIbljFvRwwzAO6rCAldJEPoDeTun7zLT3gjCm0fLhfcdF6Z5qITR81TB
eDV7sRAOfOl7HQYHWYzxUocmovR6TGNMtiW9fIY6KZnQqK7LuzrU3UBKmZv+bgLDtq+yeMmfuBDm
hQBhecDkNJALYA25yof36QsrOp1VEJl7U2nRPfMJ3vP6cVmszw8Mhsn426wwahfRIGKVhpNzU658
6B8BH5Kx8lHfCsoJwvqvcwGsY7+gT2Wy00uDBTKMSfMHvo2A16VtWg6t7buKJCLbg/iXIiVPvOy9
8ha4xiX9kJdRMKv7MeIw6EJnzQyrcu4283ZS4BXMU9bxMgId9bqwYSMuG9iRmxo7qniXtnGOLmFu
QW08DphsyzkNUVQkML/LSkBj9hGp0CpLvEHbI38Kouucpcv7iPZ+ZfsIwlzrL/GVWIsAazbocns1
h5ZD2YorkKpgrNrSEg9o0SwuS+drL0nJQ5MqN+2GaUzQUMX48Yema+hD2ok5xStkAXp5pSq4SAD6
37MihfInQ6EE6RWsa8R+jtFrwCvUBAKcJjcrTFAfRRwGa51mPBFXE9rNCTB1POhCpEUorYgZuput
fQvWRmxTVzPsNlOvTrHpYHTPJ4BZUz5dDFwa0EYIBefTsfmPESj+XHWoKh7ypo0RcDkaYld0tslN
riUk2WMogjsfLKe0srTXt4GY4elF0fjwgFaWiKITOuqRK/REbhUajXQ2OCSpQcwUUIo8yqEfn7vQ
s+0hIblra2X6iRxGmFfhHoS8NjqQxBbIUXmH0NS3hP+JARxgyw7pCeSnRfABHTAGVKSlh0xAIhOb
wFz1lqGCH3v4eaXoF3qQ2mT+BRq8hl2Z4C0OeDEEGhtXUJeUkW5yVkLbqP6gOfFhVdD7EMdMWbz+
gRbV6HK2UhU+5OEwXkYaBf+SWMFcGUVQ4O/7rCXzRYNg7O/CVmceHNVY9qGFA3haFjizbiU2XXaV
Zdzz4REej2MZ9tP4MhItYdQFl6AvqHjLawb/1gZcq0ACxuQZ8vBl5ct9U6yeQTuYiSKGyyZxZdb3
kE73XjyJaoYn9eXomqRkuA0ctMj8am3VDWRH873B28dZhFyuL0M0/JrrhHODKYDjA/p+tVuPShSF
9X1MXNuXYHu1X+bEo7pKpAEBHiWp/srXCf/GALHhApfopC/72EeGjTzY47uxn5AFN8sigrLlKSO7
Zcm8G01h7wlQJem+RLFKb9dFWHJAoIzcjnshzrMu6L0yK3o0SdQ0FoiXonf3ie7nL5Q1I6silpEF
sTQZIJayAW92K3gaQ8msTcwOG2Ys9i016mlF+eEAS+klv7IdGS6ExNGx6zMkqU9DMqTrngy2DS67
yev+zHwT8x23JtAVClPkgqW93itHWD0TDu1VHA0iqKaF0xvMZY97GGEzq8jqtbwK4VV3t46Qm36N
FweAVQ8qfeQyiV66IoXCNZ1H6+9HlcMTfsLD6rIPcFyXfi4RHhRL53eDlOJFCRx0B5gJgrEVzc2C
yx3C7vzSWp3jVPKBy06Nv3wOIkdfzBqEyA6EXOLHwXj2Wclv3VgHPV2/oRFz/sWN64SMjgP9dY0C
OyMEjSAvPZOlYof3lqD8icaQD0Ln6lnp0Xxm8LQeSwHN7ifiMvMN9xOkdzwNuC2XcEZ6F8MlcPyw
pScPnV687mDGDhaQBbpfmRKMfugxZKK0rWCC4bpqdSs0Nn5BzKOUYfaZ54n6Y8jJrO8g8Z+eofwd
0iqfg0yWtPHkXeZm8j1RU/hHGMVcVm3cNN8R2HA0z2EM2AVdVGlb4udM73U8BR8Hn2YfjFh8EGGo
B0d2VP5HsXMEKdgOu3EsLpFFpW4/sMBdpiuWE1i02+oZIBOA20gHxWjequwB3bOGsXQd76CehEnW
g8/GqN1ZT01feDMkLwP0eEiie1N89JKwi6DiT+jL3BTeu0ku021vA7cnJhiW/RRIujUvIPqJUiae
F6EgyaJNw9dHC0UalgRx3QdmCyTtWTsEGRoWQihYmgaGgniGYYEgeGLDR0zYYK4MnFE+dcwjIwQN
zON3q5CBtzM+AMpdhnjPS+BWOJD6gSTZgQcBcEv4KrTJbmxVSHBRmWn/zrfpwj7OBEGjmmUUr7vB
+aA6IhKoBxiJS15NRbaokmKp3k1S+g+QpKfoLOFbhDdkXtNSciChtAw69Egtc90XSzkUMP4rUYRL
2ouwQFs3tHtzkpQo6HK9H1TefkLD2OIbQ40JrLnMdWupwH37MIgUXXBU6nt/UnQgWZFJj917G+IU
LQkBEuVk3Kxl2IElUzrWMlZ6DV4ntuPUTleJClyHPhEmuqMwyA0Pc6rJd6cmjZt1ODS7onc0g8TL
bXePPgpUhS4RXFcSnprelUX/KQJThrx77LPRxIh/i+c+oYPvYi6KfFXLnuIWiHaIfipQkEaPURwz
ReglQDBTzeu0Wcl0IcDnvwmlUstuiHrAxetYDHVDQjbDSC5Kvm9dlpGK2ilPLplm7huIlhm/onHU
ynL2sgbQTNjSaoDM4I8oYthJg8pwkDCp3fwuRM9eetFKPRaVtAkZdoFb3acpUvqpAQWxrQZturkK
reJPpCCyrcBQzJ6nfkXbUz1Na1rmI95fRdDGOiljT8nPykdxDFQpmj+NTMNuD1pS4E2UJu0NbNeF
t/dVGvT7aOYdGrvhZI5KB1p4uxvT3m933toaTM9KNn++dljpwYQUioUwMz1BXxJYeRzSbIQdhU01
UNe2Z5G9g2/EZO/NnKUfvQzWMVVgFaK275PswqhIz6Xf5ECt4B0LwzroQxbwRYGDVUlrhH8h5jEK
v4xoFqLvvHnmeQWboum2W1rBLoth6e4o8oS01MMUTyXuoeoLbHfUvQzQgrx0K0v6qvCQjFbY2ZCr
rUmom2rCNYMhYUEhuczF0iNr78fhAxyXxqjUZirQFHPWsy1TGC1PqEEUsz0ovO78QAp0uqjytjPd
dThFxXKNzAidFDIe5Jej4D7YaBM8Vauxz+SHMRj092lARNzZYRHvLSpED1QPyPn7FtfD676ZR8QO
qArQoosz1d143JOuzBfJDfpD0gGu2MRhx7nOMlnCfSd+ghR87nZDmvB759Bj5MJDGnAYBlQQ98z4
zZ/LgJneSaR2Q5Ur4T9wLZA0RtZn/d5o48ltajL9APyZFTs1aDWX+VqIqOynCBOnorDlyCd9ppHD
OCwkYDwog4P8lgTXA0HgueqMVAwZSMs/Z56vyOUA4c6X3IfLwG5dW7nuaDGhIfdoF/gcIoNSB6WB
fsI4uEFzTbVk7oXCq+BqNgkur2ZFz6wS2jCY7/hc0AbhKqemhLS9vZ2h2bzPO54+hF6OkB2Ilvr7
JRdNWJoU2TNg1H7IAJSQrsBYeuBV0eUFEIHV+s+5kbBXC7lT30SPutMFFGJNzdxaNLt0mqdnPUfS
3/0z6gzjaB9m62G7ELMhRPIoPOcn1T95iiu7oCjEA57PkLIrGz1mHMhTm8BUrYKTLNprwU6h6EqA
0G2M9xaNH/CZi3P+la9BNxh2ghMK63+4akEEc4wUpegnbfJwBCDVooiLyIGzIGX5DJJYcs7b6jX4
hdoitMaA9iBRelX002Ca2KDnS02Ywdms4+JdZ7vx269CbMC7UErPwa4GmHpaFwuIWVi0TK6WJr6F
n2aK/GIGYvzLSF6WgVAHv+MUqnxApMcT1y/aMzzwbe1DUwoGMKRPk7+cs9p/XfNAw2I0VoSGDvVS
bKHjUXCKzF0LM3h0hNL9Le07ei9pMV4FTRLVguXRGZOGN4reG+MfhNjNQAEmayfI6EpEtCZJa2sb
o9NfgshEpcF5HblPHgxQynwScSVg5FwmK64jtH/oU9wL5K92QUwgHoo2/V60Va9A8Tt+cKkMcpQ2
VDAg6u2F5ejbNMHp4JdfIkaBYw64ynji4NRcYQghrGkjq2oINaGrltmMhAcdZH6+Il/tMThmomgF
Lr6/sRhOyatA+kbCWgOv8caa235EGxngy8kBF4Sx+vlQr7YYOluDUYra0GbPCdz+eNqUU7xdzUhr
obK5kt1E7mdH7JkttoH+x0UrKGpAloITHjBmmCQcj4IPH9MZ7wUvZ0RdxyB5Tftn1xggiN4XKM7A
7z5HKn81ifD28vNNLQfVECDhk/02avR7VH6CVzX1QxXQ3ttl4MNV8On/ZWketAZYF0iusAWQop1M
YrjOydokaqljdKspCS5fhxUW3WdWxatX9WMUSD0g0EBB+7RH09jTyepYoAbBvXWPG8FargH7ZV+v
bRT82pqrI/ae8phamtksUNOCUopLywS4XE0Uejyus/cf7+f/OupoNv/7v/HnZ8YXie686uSP/35n
XqTS8uUft098/ketp29PirDpv7cf8v++6fhH/PuWPKNLH/uuTv/V0TdhpP98kt2Tejr6wx59etXy
oF/k8v4FqiD1Y4D2hW3/8v/3i/94+fFTHhf+8vtvz9A/qu2ntfjwv/3nS5fffv/thznQf/395//n
i3dPFN93+7//lyPP7NV3vDzN6vffvDz911aGh6EDFIMgpGw2C/blx5eCIP/XX6cWuGYgdGzG4BPD
Xf3336LwX6ipg4mWbVRQlK2w9Gemty8F8b/wUrETwSEDkwY+wL/93892/9eG/esFYS7+8+d/TJre
MzKp+fffTrY1tP0IHShPof4Wo/B5yhWQkQnINHXitrMFyXD9DQHfD7EYwmdPNmFajh6i9bWC06hX
N6Ps108/j16nbkU+jm3IfDL0pEV5DgSak01OLBm7QXFzw2Yhwl1oZFp8iNFyV18uSdFxdFsC1fu+
kdKh2VjfuzS+GnFxYLRqA9muyLJn2kTnuACn9Vnw8yCrBpEI1nSgoL36XCFChQrg2XuDW9I47wDW
khYYTm5NNfRDa8quX2V6N7sIelfUcYpul0eQa5bjbEh/Dw8DdOGMQdTJrhI262B/Zt5OguPGVElQ
LQi2VAFE4dPS6RCNccijhN+QlKx65zM/Wq4j7uX3SDgp/+4GGOdeB0OUzLUJJbGlw2Uk/wpqgJa7
FtyQ9wWa2phrnLh0hcDLFOTeToYk92c+6RY7/3Z0BD5KyNAi/+Bpp/j95A0HbAliz4XB9dbTzV2a
SfHmUoz56spWOBXuu5ROL4x1GoiKHJZdb8WcXIjYKXKmTLoNdfRRUGtHGRi9F+FFuP3P8Sk2ka5x
YxrY67DJjKpEAJLurbVrlJTrAPj6C0kFmvKeeVcbf+5kVERjnMwZMkdU1E8OFxQIUZvrF3XN/ACX
V43+pkWZpAP6gFO1JjBXh6LALz1gHe7AQoq/X7w+N+9//iJOTh8w+/AeIJzejF9hYJWf0PyihY8d
6Mf0OpRsGJYKhJBYiFKAW+jOcVxePfF2+IAQh+CCyvfp4qS4TZt5suLad2gacSUik+rLmPZuRXGT
EXZGbXBS2wdTE1QabAUk5QgnCI3Hr1U0sAlo49BdDT0a5uz4X1MYQJN3TbPZox9hVBWvl4tiyTky
/auht1YAYMfhIVF2x3+Oh/bSeMQtfhZXaJXZO5jMU7sLBx6m7xhZMa+wLm7kHk7t3jnK90kAgHgN
TdxwAoBTgO3/Sh/l+UsLRG7iV3MrAr8SimKn/xWOutRiJf189aAp9Xbz+Ps6xhkG+z9ogyFqA33p
1MIauLZrACWaw8xQj9233rx8V9EK7CtqUUTZY18zIBNoYV3Jok/3PSCyazpmTbJvuFjeRRngWDPE
xeXCF5SiRJyi6snyaxgDhfvNuBrux0hZOK4C6ElHo8+iSO2F8L30PSRa4ENJNCKNtLpzSdN9gFrQ
cqgzi0YUXi0ITDDiK99DMcp7MSMaWM9S6O+4q8uvXM+mbr1gvOxw17nDcvhKNfcOiT+o2wDQdwVB
x9ZDqgkuxjWnSRmKML+WQ6Dgolfkj55L8neEFUBzWihCHWdZ7XfA9qVjYkc8H0a/KMUMmBSAMzhU
P8I+QL7vMhQaFkMBBqDgcQV8tj1MDf1o+bCikVjo9unK5A5FhOagijm9aGfWPXGtvmdqTf3SxjCh
KOywlo31gIiksI8pCofrGOoqxQHTEKEuFvM7lWMmAq9HcYDz4EJFAKVs4vNP4NXQfZg6FDdh8ySf
5KD/D3vnsSM5km7pJ2KBWmxJuhahReaGiIzMIGnUykjjo812Xmw+r6p70VV3uhu9m8UAjWygUoS7
k278xXfOMXcM9bxt7STNc9oN/gbf+Drm8Wz88GeTjbliQ7BhbqIutlPcD2jtHxx/nBi7jsaDX2fF
o2x0+SVxmIyY8Ab1ESG3z2bJmesHiET0HLwSGRqp0ofIqV2dmYbvW9+dxEhZjetBdzYb5RyXlqhS
J0vGHfqtAOv/9okS2WJjzvidw2kmd75LoizjjxEfNHYbVwss7WSmw3oWopqeE7/IvgkJYQJ7EYi7
YlTuk+En1p3GjO31xr+EjEeDDfY+2qkDCCEcxFdBpNCDMw+rfGMnuy7bEJrEOKovqNvjQCrxWSzO
yTSGcnBj9B0EuW49DVe46qlLNW6u62IvznRsEvXpGK0TLe5ghDfFy0Gr0+UkcRh9Z2uWA8j1lbi5
zbCqHOFA9wQXv5qpXv60lGMcWp/ZoLBI/MncUl6xiwLBm8WWLPQ8gva9gNsSktW2Tv2i7DWP14Ar
JO2VqBUzN2Fl2mIrJnJITHOQjHvVerFZCaDyNuQGM5KkYtuWPXm9cRYmOKDymp9uxz6VNc8Bgrd6
MpzsjU0m63JfjFuvt1jdGIv+zch9IooqKxrTqT2rFCLBzqe7pJHzzmzWZWOVhdgv6SI3uckIy9AS
xV0HJbiVhjYwAxbrdR69YGeaot2bVdvc18TeP7lrUl0Rqqf35CGrs0gt8rAQRpy01tWmaPCkY0Xr
3E9dOAYG38vWlDLdOF6V9HAiZSujJMuWX1abm07UTEUQEq1UXoxsFMUJlUJZvuM6V2rfGAzBxoyB
PztlqAJPZJc2aGvxk6ho46vjypmva231j7WqwXcI5hrHqy9M130LvD5PXvuWxzl79zUX+VHCzBVf
fiPlFGkmUOMTXgb6TyigqqccnPr1HkYyXXZm7g96bKWDUW7/KMyQLtwYDNcfpX1YMptXNShhbZZZ
L3RIzYV0KLZass+3SpNTRo2ZUdUN07SU20A0ZnaYhzLxMZrABeUgLS3rQ/T3xSUzUlKM5NJO/jmt
IQ2iYanz4ugoPoI6AtFs+vNilLa8epzEtr1hhlRSNhswUOsruMbCFD9Blh/W+hSskVVW6bCxOUfd
qPGa2T47bekUly5ouvXe1gGfYxbta/JrVXw/LhUCrg+zp3A8IgNZyXLjFktxy+8pj1035ankdXni
vC+dwWcz+JwdeFKW43E1m5Z9mZW4Oicu3pHErVc4kq7lmmzZvXjysaq6tDhOmduu92O9+O5z5fpN
uTGsYA7YLleWRK4y+60fcmET0+crba/1r5rlahV3sIDNyRyQvx/o5tsUtkzz89ndrjpXKNt4NY50
/Tb33PrijjNCi3rorEeLZkjk506v1c3ct8RYqroY5VAW6cmZKnyvom5eJGcXpzycjmI0zsWd6g5n
Dvj9epfrjYTkIgLdIoaBqfYSS8a8KCvWbB3MOjYK3fsZVMKH12oMxRycbckN2fPEIL2dA2e0bfIs
9URsY3szATtYM6tYK/Obs8NiID2SGWbbr8Hiz/0vBgtcFs3XW8k8K8sET8uZX5YdEyrhd5u0GXNx
Nuu6mL6PM4FtHH6NXvq3xxOE0S+70sfWCq3bFMSKBV1R+kX10bcPK7UpEUsdWqHHNOHAZCpH2b5v
sjbNX7ANHNyrHNTKJ5Wxl0++3VabHFnJVOXJY8d0TNnQMOQJwD/RVLFoKVXWia+csqWvw6ysZadF
VWKjKIqbQZkUpQxzJ/GsdUH25qXC2GjsB0P8aju5A0/qDmlf4oMKQmFfR8tZvjv1kLygPw6ObZ1B
kIDVx35puK+U5W+k7OUH3l69RUHBlD2wYIGasji5NjakWxQVCl1U1Yz3wbR8dHLE/bBn75iQNnHR
RnYJs624z8x2OLhsM570Jql3K8kkeFLbfQSUgSEEoPpDy7kSB0Pg3eWetKIgh501psyJ0Q4ZIXZ5
rhMmgTdtulU220JzgqMyIRfbADAtchcOFr9ZiniV+lg+On5axr62TiaOqzNClo7oqWPm+7c1k0NM
m+ekZXEAJtMP5iqTfV4Vxt4yZLYRsNvbPJtfDVXlXugGwDYBIV2hXiEqlUuvjkgZupNJKm7INSkJ
/eWudkY+azxhXZ81VOv8YI1T7iwBFFIuEyR6NdWHsfa7B3yx2TJZjTr0az4QNCJ+2WvVP3apg0Om
4U1xs8IoG0uTPTaCfw4Y1HsheNfwo9r223Ov1zX2Dlnr3Qn221QJlpPywFuNKOhHQ0KOTvJlndu+
2hCky9JXSitTEZJ5LPj7cTa+gkTzz0LZ1quZ0AzjWNmU0dBqnR4GOjvFKR9GGdJb9d0myxLntTBM
ReREkFb+N7sPUnGVsxKsrjh86TqdQVACDlkW1xi4A6nUfk8xZE4splfKgy4U5dSCMnTFMU1z84eV
NsmpsGbzACreALAHqdxZrW8EAK6m2hdjqnBNacjICYXsp+OSjvNbM/bN/egwUwt59/7j2DVYt7eu
VzzXlWiWWKXSfMsxeXjBMWI5Zv3QPKJ6sQ7ZrbGPAUaGgw4pBzjRD/lmLeQChpQ79lZ329bdEHGP
wm+yi+TnSKTNq2PknR+xfh514ETF32PAE9Rhry1dHXY+aFs5iXHPP4yfcCf1vIyH0Z6iZfHQd2DJ
mB4rzP7C1rJ4bkmhggx5ZJ9PkT2101nlff9d+nnxZMAPgbviEPNmWanLA6UtxZbFdGBd/VHTQTb1
qsMQj1jIiwPjrR1Rxg4vIw3/Awd6CRKql+KuX5JyDxOCM/eC3m07zJgAAUziIgyLKcvIxrl02iKy
XS6p5abDXgTZPPP5Kq0iS7FwNLLaRXkyCRQjEm5dPirpeRsQA+MJsjGIpLXWEVxmuh36xcG+K4Xb
Sar8GZbuw2iInuINOjJqaLHe+Gg7J4ahGmKzyQ0idVYMIzQzU7s0G+pTR9+0s1wCGjqWOgSN9GUm
rwH14T3ay/nFzb255jhOkE9Y9Xj0RVeci6moLm1dXbROjZ9zNyYXMuX8O1Nm41ZflLO3m8St2Lp6
PYai6RGVtWDGVNgw+YXozyuo7b4YzIGeCrh937pVf+c0q/bh06gsuA6u6ydfVrOKdcutv5W5aj8c
u5539uT/NGsKTN7O5E8bbbXsiXJlprnKA7G3c9qxqve1Ljby9FfnC/eISU4W9zUZ9WTTrDsQwJ7+
qh4uuPX0G8Npf0xjQUr64jtFfMu9enLpgmNZVdmenpzMb+X8chYti42hOqXelG47zBwe9MTUn0d6
gKNOFRuZfTBfx5n154opbJi46wggI7x36KDhqgnJqaONmG7ZhRl6dusdHDSSu8oenI1R5YQSsLCO
NLs7EyZEnE0xdFCs8xCNDcGjfuGWx2Yml1RhjfHNnoW+beEyD2Vt69GYQ1ZLHwSPJEOqMdkGFnQn
FdXKC9r6eQU6phefveVlkSi1YCOlVlHojGpfu0Dkyp1oR7UihQJJRwIKDWv+VLP90tp9cSwGFzd2
0aCgC9ZHt7S8L3qs5knSR14FnQcxB64q6s3sa/NjYlMgx/4wtXfmoNfeRVV8u0LNTP1TVi16jo1t
7ztTqDmjgyN3o9z7vHa0Z8QIgb/zUWiLvag9IUGfxuQ7tY8R+2MAjqjc6lFnx/NOJg0BinnrkquU
FjRlhlG8+ktpxWgWenbUifOoF87MbCwoD3ljfptm2T6iNaSO6hJ5X7fdfFRrkHJme8YpcdUYJdQJ
T4lOwq5oqjrOF+D2xbH8t87t/WiwSu0uF+arGA1z72aKIaBeZm5cB+Vl0jnDwC+8U5fZvAjZVp8c
ZfggI3d8a6YWrsOevfKw1pzXaqQKgsVwtQ3q3OW69J46890uQ0sSjLB0mXsUSfGD1lg8gMcE0aJ1
5gOupNzrPKH2S226W3wDKcq4TzIGEF1xqEiZ2OComT+JoJVX4oX0di91ZUZsqqrvNhqA97bruiu2
PxZiparbl3mnfTA45RBfy3rLHe0Ve9/UULUsw6qi1EqMr362x2j1vHLTojfZlMyxNkPQQ3YSGmiF
HDneQJfHybixm1pyM2YQV0XzhiFWcQ8w2j+ikCyiDPCf6ACl1yEBhpcgpzbT63nYw2P+xM6qJ++3
G1wM2JGzhWR1tN9XRIqh7uQ0qDXPbe6/BU6aavjD4Z8F6lU5RKxu3GNP2xyT27NW78zhZOF/clmk
aV+Z9YGOS2DTcK08cy+z5FTVqd3BoJVeRFcD27YIA5lArmEZ5lAAPmXCr+8my8g/gnLkC5iv+lfG
QIPKPqFdnZc2jRnUJU+2PurXxkViHi3UhOfaZgfc563USRus3WOL59xmWIN5l9raQeothChukNu0
HVB3DKOx2iEt+vhrYlZ+6yZlXOOruSsbm/2aLdzvQ6GbHyuzmAGamnOMep8PzCfUu6dk3fAB/Crt
4K1NCxRXgGGP9mq08FceUXpJVe6NGZTT6IphN3e9OKR230Vpuiwq7AdDnbWSRTN1tOO86WY3PizS
k4xEHIeX4J1oaZ0XrVfLhzsM9ZYJcGVvFgvAxdS89luVzuoeisiB19EQjUAurKsTM26cEAMURHCu
6FS+KcW3nOookFujLnhjdd/Yn0GVLr94WEq4UiM9D1ITMUiO7ofOrOynyc4tGXq+3pxLzYMc98xJ
oub30xnHJlnkJ0ZGSXpOXD+Jh4LJ0Q8MVVpvb3HYTTFtl/OGNcr8UhZWj86Y5gVMH2LYcMfuzBo9
mca3xTXk3LlhbksTtVA0QhG2lQVQOWTLQmm4zBdlZMabkCYRP639hlq0uuh9Uf1iVkLJAQUj7fti
NLqlwZ7ObwqIWNfitR3l7z1MnzEZuNZFRy+ZybG0d0xgAI/ddQl4NHiUSafOzPlds23b+tIVft8B
uSf8FzVkSa1RN5InwDdM93BXD/tGD67r5OVrXHfSls/kZtuXctRq99LOve5+n2rLLC7rPKtkQ9ir
78Vero/1juAQjW/g2vn8LdWVDBGzvCuCc9BxwR+VaS1spmq9ElwTXhg9Qt5amb1rf2+fObiT5VPL
ggLxRJI4XfLS47BobQ0WAcPWn1O/+pUHw7g+eit0tM2ZgvVvVLhsZ3frBPh+wn90FafUXqV3b2mj
2UdQ8jkDfbBmfOrRH5ChRKWf4vIDnlrhaHDwVT6JPbpy71o6Fn38Kpwk/450yWKkmaw0j5OyBi8L
G3PAEGYUmrncmdZA41/gbWieuta40a4W9C4KXDU0jCfaLjVpf1HgVPfzqiGcbDx7YApSUEsfuqlU
1cnXUkbfeoCkZT9x0rDbkEm6vDmpqH07Is56aDZsJRJ75xujOe4oTRkWpHCmxkHlpH5EbIXGIA1t
R1VHnfHCFNuwCsVlrpdGfGmEEdEEQUCMh9aoOwxnJh1j55AZ86i+VsPvV0CzdPXdLzAiQdTJMg3c
T4aBouBkNQ0fvKX1/IprmisfHewT6UtHF/U3xKY95OcSgxhxQoHCz649Stt3DmNh3lMLiZ4K2ege
zKY0PooMDzBEBnRrPT281YP3prTGfHNaFjLJrZbRXbXp8lHeBru9MyWhFWjuVzdohnxGuWdx6Urp
6/wfqMLtZnGU7bjh6BgNxVNFYh7/GPK2MEsoMZ+xr0wZDy/Kb0NvncXRHDIP24xEcEgZ/bhaD1O6
Ns0WwaNZbymTldjYi1k7oZa6a30vhOB9ZkMDDhmC3mT1scxT4z0R3oiz1pDOTkYdx5Yscrk19jwC
5+C8UuriFQu9YV/qdSBejwf/aj5k9qBlyIJ6FqRJBTU4KD/YFsVUjdtOX3nXDDuCkwGoioaslLfJ
WZFyMZFsYiKTjFQE29wiDozlmKiTeB6MAia9a6mtOPgWZCnS5m/ZnvR8aj52bsdh9lf/6CS4ex+o
eKQE1f99K2r/fll7a+mNJ7OcggpVDCz7IekdvYtUocn1rA2lC4letaPcqqnyzU2wyrm+zkM3lDGk
tHbi5tKC6wQFeCD9yesfbWEU7UcwGLhiKqT/OwbZoj3SaprqxGJs8rai9916X5pTpT9mRaPqmIPQ
WeNA09FGdTgbgZDZxlBfFrsOYmeoMJfCJRKQsKwDl2Qntkp5iOJuITOF+bGAXjZzhrt20L/JAC/U
ECcb7lrGNMRuFiCZw6eNhLaMDaD7H2py5H1acYn2yjT64SdBzHZBUdpwuae0J4sMeMR888qK71vT
tjRT5pq2Py0u9QczosLaj2jK1NZdAr+JEXgmVoxKz0w2t28YR7RPU78v69utMYpS/fjjyzmiqLy9
8D7o9vq4elkR9uYwr/taGqWKM9dkMFhN+DwdTVE587akUMSAr2eSyFKIJJtNIQZxMmQKGZujpqnj
TE8XdXSV2ad3lp403UlodamHlKITdv1D1gj6yjE3fGnE9bwyf3TRfWwEN6639cagmKK00cRJqqBL
Dxg2tV/eoM/Zl9U4xsrk2UxcwQdnM9npNNPyjixFqurd7ie+87nZscUrEJYyOE2bktVctFq8uXvT
lFyCFjFOsTMRGuxmszdTspXk6K/ELhUdcRew2epIx856OAR6rsWXYLZTHHkMuMXFkb5oVIz/xtJj
W1IxWdec1q23Laj8a0e+7xmQlKU4i4ie85NsTU6vpaipu0U/d+DcgedWR2cVercd7VxTczi2jZm8
5l7mdLuAeDKNmJ+JSptzukrmO8I90/wuwLC42foi4I4w8c22dgsxPl2MvHeahqgcCo330FZYEqDm
bMryOFS+5sWz7ov9aga5s4fqH8WBdiN4sW2UiiHf4FbFqa+PfF9F02dxtQ7dD13mtN3jkBsO6vop
e+87P5lj/FdLM/rjGfHHqnSpslJsmlwYT07uAu/yITnNQ2MrpIA9y9TxtVWojq5/nJheZxbGi+xB
k7eLoefobOksrDXUbEtmO22YuHAYqrD4tTPbuJ3A+HXvzZvO5GByKQ/omGwRARmPw0+3N5MxJm/o
tpp3CZDfKeqwl8LufZvE8HL41hoofzZS+Ws9RR64rzlG2TK5VMpcZJ2aLe0QstbeyG1h3LKPdpox
Ne39bLO+YPI5LtpOr2Gy79Dc8h0GE5z876XjOyRnLoX7yZihU+dBG207FjwW5TMVkSMfUyrf9T5B
fSmfvXTq+PoujTzYglDKc1mjLnzsLZ/fdEGLJsYg3En5AYlMZn/CuCuEcLnOQ/JkraiofvE8KQse
KHpe5SXaw3LVrgP4QLubRanre8cebgNhbTJRtse00MkyRxmSWvczqfq0wCc5zZqz3ztVk92OKWON
Nd1v1ixuFlNL9NjA636aT3XXKGB0x29mxXTequTGRdRsfu8r6cxY16BgAk7pyFR5X/IADiU0GJtT
D/deVsungSSr9oFmAit09rGOf/bKabYjIUzEUW1SiW9FrxAxhcXk97cZ9sKWY18TgmdcmT9V3YZO
b7SOKUtThu29YO3xZ43k6JNF1aVSl6zxvEDYFUJleCPf4qpar6leyJ9GDpVN8qeRaWPkU1S233sH
pyRmAbMsL6nQ2uXJb9s8jfN04j5D/8hFgxF2mgOji7bda4gW+6h0lmJ6WnVqmr1e0vXs5eppryya
hv2M+LON7BEV3DmRDjxzlLpSLaA7WvrL89h9ftCzavV76pn6D08zRfepK0J20McumYtUde6yhRqA
nWWGVn2szPRHIIc5e5+R4ycfjkq4NxLGm8EXC5al2xMVkshDr0QeW6tW4JU/Z6wiTlZdWMVlSCnk
N4l0B/1JMc9qw/T2we6tIdfGc10xQbkmsBjt9qZpLN4c9vwc9ETPOQ1anwwF2xbk0rRZH1J0/cxQ
MUo/bBLcnJHFdawUSzHQUQ1GlvK5VvdWB/LEfpIo6Z3iJc/k11qFWB9aZNDq1OSjO/yokNQjx7DJ
iITZYQs1nfqWmLB9D2OHeUGHuuC89qNpXlsm5XWoIdRRCrUf7RnKYa0Z1XvjYG/NdKR25kvVjbX9
KA0ejvuqNzibOzr04iKC2V2PUpY1PFCrj763RFqhhvyQo+8O7kWCkcwVWhvDY4b/EIAMRVrj9q0f
LU2d6BmmaaNjcz++edggBBvGwBU2RqVo9IG8o9npmRXCHiddPI2MXnomp42blpsKpkJr7yy8Uozg
ohFZlCEmKil0p83Kj83rf8Ol/o0CvLXvDia7oPq2iZ7AvpFD/+BJ51BTYwPQLzvZVK71NNoqGN5q
YbfFx5I5LO0Cg437/Vpyhd6DMuDx8ztc8h9xpP+UCf0LR/rcVPzv79joX/7IP/2H/h+ES2+Brf+c
Ld1NH+Ov6qP8+Ee69PZX/gsu9X8zcSXlykFu4ll1M5b/Ey4NzN9wZcSf0edXTsvbb/0Jlxrebz5e
9+Dp8OI2f4Db4b/gUuu3Gzvs80XDsFOHyfxP4FLndzvevxBDFB4mDvu8NvwicS37641VzFVxm7QX
ZHku+YZQ3I7Io7GIq3q85xysNqOBqhxziC9fGPUzzbmGclt7WBJvL4TqYzNrh629EJdZT6Y64DSQ
HswCwJngcm9DGM2Onb3FTDOdq6gxrB882OtY4WiIT9n8vRHoYlP2eWvtTGc/JxIbxb+DGlB/KHz5
ToUnMJCYP9Cr6mFaSJaeiy83HamYyOO6L2rDksWDi+bQouTz2mIn2/Kp9pD04VkAdkpo4rLp/QHj
h2wy6XfIVFpDo8zafT0w5R5n/TnFypCIRM9iNev7b2PQ6SOqA/umUO+JEAHuLz7V2I5nZSjM/vAH
u5hyUQ+tgO0PrUGUe8yBoVCZTrHdTFBlTHl+RTV2XfgsL/7MZMnO26PsvHxn+YC0pK1FrtZlmC3M
OHpMHEE40Gdds8us3vmOrYkV90zeLizqr60wXojdEWFVFC7JTVqKSY1GD4dH1LVJOaAnxaAceaT5
DQHVEBvNzUe+KlrGPrW2n4uuvbkrvKcVHcrQr1tM3p0XVakXZJzmvpv19FJnU3UYWEh8NH1dsixR
PETzxcm+lzN6uho3EPCRQg5HZym/3ZSnPx2vG865XbqHgYP0vem0AaFm96GvqiatGrtMLBqsztFD
s1/krmCOgZreC2bcFCj8I8HG5zA7WnDHbskKO6fpjngJaFhw1N3zaGp51LpgxTlg19Ca5ftqJ9XB
L4wpltSuJ+Ac92fa+xPjNrf4yQGci3DsiLJ6yNza0i5srticjYvJ83ekUzsn80h4tePcLKOlg+2L
RCPRQ66VZUxANnu5Je3qvWy0pH1L/BtBMymzfiTDtERbvyAp1GdvjRrHG89r6ljnqZ4eQfKYqkqZ
sXv3KIzWzI/03n9z5/JKxmqoNEvx9CnfzHFu4kq1r4iMh9jq1ZPW2fZTUVrFyWuyukX7VlR6PA2K
9ayeeUq9tZgXde9SK5uL01n+fuzluHHgrd4Wbc63uZF7n/4iRBsXgbY+uUORHKkZ0zhNXfWm48Ox
XeZqfBLzWJ/RgybPelMFRE94NXoUwDmAU2qCCaJ16zmd+Vg0fXmHbLt6t/DB+FFOjX729BUcJp+U
aO5MNWvcDxVGyzXLkDceSsv9VJsaoRbMV/nuC4kxjVsREiw1vdm3zvAAH/6lJ8yMFebmER0fW29/
KuMVpDFec2s65r6eh1lW3ZVJ8l7oS4yuXd9r812HljGmtikObu/m6P6rXxPuohFceL1lH7qthB3g
blayOGDoHtZ4eEcok5dn+ln09SIavN7c1BXps8RJPCZ5ejXF8DPRrfHXmPUtq2hcPUg+YCeryZNN
eaS9sA/ys/zc/4GTtTY6bPJd52EVajPwqM6DrUvqS9DEw9xOr6wbTiuLqU+rL4qfY1K6705Tu/dU
dLiGQBeM6FbXVXOiKR39MBhdtkX+Wu4BNyiT1554R8tyvQeRO59oUYdQLIEbmUm7IxMt2JQ3VC65
QXMMTK1rrT263aDcKMELJLY5Hy8T41mW7EKcg9+pO8jKO0aJ8pLkVXqZ4JsIbLXqZJv12q3Bv/F6
g2Zt2Uli1pqfx8Q7+cjGwmWpf5jKOtxyGUM44TpkjcxGeaFdSfqnJcWFagj0B2ddTklb028yXoks
dJIRyuxlqxVs4JvuW4dfQH5rFKAUxhM1pX8PFpJvpqyVd4GoilCrLPHKiGgK21Kvb2LhDkDSELoW
jmPvbOlaMILQF6x3E8+rdobR4NyZwPCu/fpZOvbD0g6oCXVrloeWMN0YhNz6kp4DMDi5dEdSPdzO
zIhZ3WVlJrV3VuPE9cJkx9WbQ06nFzodwnfMDZpnt+i2Xu4adz657ft60ZefJkuY7TwM7n2QKuMI
8/402IGKPJSrzxZrRfr2eYxaHOti1XvzpmUGsq+klm64f9vIyCFswnrUn8peax6hjhjFL927rvnl
aeyEt/HS9Cfn1HbpGi3qEJX8aDCXYxMSVGZUEBr8RJn56qQgrUhBtlQHNwClfEtbRAMYPEBouaOK
Fl3196m5cD8uy4j8eYU/SM4OA87v41qxrExTHHSSEs/rdd5VXlnTCY47CNRyk1XBfDcaFW6ExQtj
v3TXsTEL+w53J98u/O3As/KZ7J8XMCA2y2LwY1ZiT6TLvzONK57kILo4sWdaXZjEvS2HLGqWKdtO
N3iVGkRFjo2TIDFkKFqaa7pM14EWeGPcQN5AYKQDXa8Oo1mrU8ascU8T2WOMyXMMCTlvdFawtCCC
t3VQONwmALxEXAU67cHXp54jRdURLMxdkRhXtnXeprlRxYUtEtZPsj+ZTGujiu2Z26+cVGORPE/L
Cpxpv69rFVm51LrukWEBHRSiFdMR9pEZhY2PipWhVQjR3rTZJvPYd71qZUrOukXQBjh55o8fw9DW
dypo7mrD3JqUGEVZv3J0I8936UBGeoXNkmv1ZuwzsbUTcz8yKH2j0XbosbL9EgQX04PcqcXM1F1d
8LjqIyvNeAK6l6bgtGGpWqPXFwCPmZbDWNV92OQ+tl9GvRVzHab5G4/VjxuMKcxFhgHzKzTL/T3R
p1EPNkytxW5dH6/DijdlnWQnN1AHkr82S+OG4I2fU5tml1QGyxNEwT2l6CP+F9k2Y2ax14oG55sB
P/jB4mnnxiVAFFMAknmI6Ss+uyYzntqx2HrlrU6DuMSMJnFenBn/aidhIpISsPdE785nOQe/HFK0
LxP9cCgX+5NdbIVo2+sftB4XH7J7xvYOI6mzi2wCGGeyAbKzOFC4Vm0mVnr2BqbSccYQaUq+Xnq0
qVM8+ktTXO2B0emlmIYqESH8mfAO+CiBUmV5oggGV5mQb0Uw58GnUhBtf2Y9/f9+Sf07MZ6PAOOf
N0z3v/r//b/+sVlC0vzf3ZLr/+ZSbZLPSyonAOMt0ePPbsk3fiOW2ApInmKhb9EX/Xe3pOm/0bt4
WHAHiL8tG7Ucv/lnv6TdJHy4xZo+gmWCMW/yvv9AjfdXhc5NKcPE3rYh1eGGdd/9m44lc5KUQZFI
N2xKeE41zrpzjSL5N4Lvv3b7f/6UwCSB9iZ55S39tSnrmVk2HbmQG0wiHtEZ7dog/8gW72I3uB/k
hbzXrObrHy7D/R8t3z/qDP8qk/njZ2KN7XhoSJg//l11Xfu4B/bZoMUz2oONriXaY+pPPD0wrl0g
+y6M6Mx/I4z+q0Dmj5/pIzeg/aXGgwj+6/ukHk9Vw0o8brX8zQiy8VgOdFNoZsvtv353/7dPFFcB
mlyTPhyk9K8/yWic/OYxyS5oGebXptY1aCq9vM6phAuoEZVYOopzRQl5+Nc/+X+8R34eA1jTM8kF
xN30b9cyoGh2IMLAOaiu9bixR+OpanB7j4vExNvoX/+0/3F/8t1xSJBBcOWSpf13j2wHB5h0MOz/
w9yZLcetZFn2i5AGwB1w4LEjAhEcJVIiNb3AJJLCPM/4+l6RlZVXRF41S25WZv2SL2kXCgJ+fDp7
r90GZ9/qvk5Y/gpLxRca/wr/EpcallCYU1+/TcgeC2cht2USnsNbr8zjgxHbdfBn/4rDbQU3dGcZ
xpk4sA3owDglOpnQHMixSt/53LMesVm9Ffq8/T7nfwVbGrAIckCYeDZ/S23RD+Ws2wUDjViajNb0
ERYfmpbGeitzePtx+KfQD5/zKxwXBMYW25shrYa4VqIiW9jX+2fO61Swzv3xa+NGycd2zBURSNvN
H4SMJR88EKFBPSGENMyBg++yvuWY/Ju/BSSFabMZtQEpnGfcXy8kcySvGbjhLpgwWCM7TsWuGLzq
D4cAEwNzPVOgz8TOVflmgljYgDVFm85Bg7D6Ig3r2TqFPQfmN6aHc/n/dQuGdRgjJMQJJgcbRpVy
Nxh7PkI7DlzqBMrs5qAw5+7CNkzg15LwYUSJsrz7f38k6/zEV/+izyhQZx4KYxa933YhKapyGBER
BEkHtiNvBCd+y8iOLtHXV9Ktv0eSE/rax1awxE53bcs8uVFTtLzxl+MxPQ+IX38KmGvGC6sj4j1T
krvz+lN2UqFTGWn6TBF5XghqAcFAlFtVeVmnpItkB6fm8v0gQY7bxylr/eJTWOeRd9+HQ7ScDOCm
L4spu/zKzpu5u0XOyaHAsZnr7irW0uLKR3IA3FzQluJebEK2tU9pw344o+/RuLYuxKsCMVh7kadT
fYegYBq5WajbG1wa4F1nQeeEflmdPRBdwWmZ5oWyT0nUD3gO0aCc9Q+u3QdpP7iof+s47oJm5EzP
0XxanrsQXzx5D+Eqv0RwK+caM1eRXJtRI7MPXD91y3WX4QobUmdCAqX6YtxHZTy1h3ip1+WdRfMF
e5otsp7ullwyh7sVY7jBKbsaGBxR3O87x6wePcDA3T4xuzrw8e8NQSrT5DotlzY9ZFGWPUyJ8lKy
KrFVhb0w6+cSgiB7XcINusAljzDd52PYgnYcuMI7gqYGgVzldIt2/ewadiCmQX3mOgO4oW33rRcY
7mxKLCoxDj96gs4dAgO34nhqyGvJSseRbx0ycMO4CI6VAbtmXxLJRduXRjvQKCxaQKCkUTkHTi70
tu1uVh9g8JX9rpvPT0Hh4LWBwd/901hbfPQmHQ7FxUDYPaV9g7ggKeIB/5c5R99iq/M/eKIW34x4
wsthpcs4Ym3PoPmmcjKnk5nZFteSqTXN911dT1+7qJ5/rgifP1WDjL4MjWy/JyYejkORTKHYh3Rg
MYuGs/tFpstZAh/CMt7XslM3bssZZwc1ynhPLEf9lI2IuS5SnN7rsXfbhdM5yn3uPdK0u4raOMKy
plwGY1gxrHcqi9EWLRVtaRITYdFFynzXooT91JWOcE74oiOIX4gdTQDVoc/lMqblnWnXNIVCVgps
UfMIwA1PSnEyslR960GXfjGKxf08kYWTF3fe6KZede+bYbfeDr5V0XbqlY0HKUwma5/ENnrG3LXl
gbB2IwkytkUTJ93Z/+RmQz0FhdGBCE2m2U5Ra/VjfmoVwqAjXnyuOJLea8q9nTkNMSNAgb39FDnq
PTdZUvzTJmPs5LLY6w23xKl1O7ZW1odfScVp3yORJE93Bun6DDWmfqh7Lnt33drP5s7zp9nYlbIZ
vxlwp4xzc0DdL1W6phBYVSJ3ISKcj1DLmhwlUVi/ryqbi/y6t8wIvl9UpqhDY1rhAxJBgMOp/5Dh
/HMuZzFk7zBdSlyCEPOaY56XTXaLe0p+NRAgESbcoxS49slAS/dG69oiCI0+dfcDyBdxiMvYuaX9
a72oBPHdYSC49GqizZHDBOO+9OigqjL2k1/leMOy1u2i2ya1LGPvAWLg6j+01HS0iUQ5GIlNGKpb
koW262MD5B4CBXGtMuaroCMDrgn82CixDhve4uwK/GYN/D2j/zlJcK77hUkmDYiJ8Mer2FHjzTi2
zXJl+37FoJzOpLeK26DnxfeaCRV+a8pbwKzxj4qljJvJ3ou5G3Zm54XDbfFJtKg+Ti0d/a+EG8bf
MsdMPq1WL76e+8HqFEa1Y+2XqEAJU8fR/DH3R2vaoWfIL821q6yTt6TsLUykICUi34i4mUUp+TWf
xPJjWprqgxdnKRJUM8QtU00QQdFur06yb7oxl4FAk/IApiCxbyrDX8Y9qEAfCJNU5hOqpKYJhgiX
6C6nKiYuIx30vW7SuT85oOXOvmzHhkYIp+txB3ZQNZfOOIiLMUcKtiPorPmcd1g8d0pNIDFpWFQv
mFSMa1juHv2Xxbe+QrBavxRtNvv7lB0GTQvDzmEeRgmgqVRivaGfkMn40qtHeWIsK4mtp5m/0+zv
LC69em4RnWUY6agIc/nglZn30y9pGTMVswvY51wVGMSu5fUP/NXOs5Fm8G+FBH/K1TUWJxTQdI0i
n+x4sPV1y5Wp3Q0Bctz4DsATwsNwVnA5EcGm/m7C9ISzoqNRIUlwTqiNYZigV/tWC+/eyj7iYHMw
26W2MZ6SNo9ofIlqKK5rS2bvs9FOgE6R7uHtF7jaeRDGbfPTitEFH7gvq46qV8RrZ3PS2HcwUZx7
kCLTuxwB61M/j/VdarR4BFW9eAuC2rb9PpUmfqhpSI2HaV6XL3M89JA0QpuhX9i1eKYzr5bL3DxL
1NOwQPqByRjfFU05PCOlMBF1WUPPfJlFq8TQS3LdHW327Cz4G6x7c61jgHSubzQICGho7HkT9Qdk
6eh3bTN25D4s5/ynDyp7gbYCI3QfA4i/6QYxqiNBRdW93Y9oVe3wzNKOaSQBeJZx/dlL5gqpSWsV
QPaNPvmUV6Wd7X1FwMg+JgnlJ70rAT28HDDNyhJb7IXh5mhP69UR/sFtzWSElaey5hokpfnBQxiB
sbh11ZU1GyQIqHgp31t91pNguBT5vS8Gx90XfS7cW8D/MJ3D1SSLfu6t8boYCNDhu8Th/cwS1zPX
DuZtCxVLwsAPu0fmnEzQV8v8d+nE1mtvqtF9aUx7OuV12724YvVbNEX4zk940Qa8TfmqcFT2cXar
/HjukLsgVkCuOxnfWlmsXwZTrfV+kUP3IRSJfE9jNnOCFfPEN2aL/HKhawWH1rVsgxqz2m94Uszh
4M4SmR3iKPnZtSv7CWRAdTEQJ1Pu68y2P6FvxHG6tonxvsaKgs6eMJ0XyRb+PdsA8wc0ZJp7CH7Q
Cgmb4XCoQ2n+sDpp3dVJ37ywt5OQ+COnfzTCJqclEJrdLf7Drg16orjXA77Mtdg1qxT3Vh8aD0Zh
FdalDyMdFp1acxQV8fhjLTyEcoM9nVuzYskuw6b30sOsejZ+mSdp3/V+n7EnBjBU4rRDRWmH2QcO
mOsKsLOWH418drkZDqFUBmjBM7ZPrrGsOwmHqDzgsygIHRA2dAIXGu9l18amtUs67jd2tMkYryr0
vLtcMcPt2WW5dbBKP3tILYcfCWUz/1HYVtHv5rCz7uKpARkPKDj0IAVMZytDmtJktMVSmoeVxsBj
D6XgtpX50qBMbMI8gMRmNQ/DGtrdPsVBMVzAJeSOlU/VLcRrI9o5hDjDBGuokcdsZOtyDiSa0YRl
yIvPnW66bwen6vw1kBKDQtAOUHJ3TlnRMPb7Fj1vPRvn2Iy4mz9FQuHznXdu2BRY0+0MsGaFPiba
raJ0vvZeb77v18o/WynxSBKl3VIAvH3jhwmMU+7wtxePAxjD+xylC4agxiq7g+na450qIlR5QGrZ
xo1lVh3bBUBO0IYJ1kHINAgUzWyNhh22y9rgxJnR7pj8sbolN2y2DxB/2qemjQVzht0U9OIcKNO7
lCaqzeruY8vxar94btQ4rKDcpXyukmiFj99YDnokj21U0LkT6QyuOkdTyBlF4VECl6XhsnZQIUSU
QrDMmkZ9YD8HBiFsyuRx5HTQkHzWiUtZFdiTbSSquHJIQn5queq+AZlO8y51VJtD+6niFxIhyvdj
1XZfTJThj7y14oXgBUJ2ojSkZSDJF/ixdnH7IfLxoJ0hB+yDE+TA36qKSzu01G3n7MpF0JSXvdnv
fRfW+4EQBuKTvGVWy86Wc9EdQtGbFhf5Xfk4gkBAWMG9G67YRn3CwZ0/zwSdQL2togbhvMcknAks
X5cRGA6mTZCrJEAxN93ifTVpMMR0YuomxgCCuxZHCVoC4IyCcIZvViunlYCimVxT2SJF2QE98H+g
IBTD3s9Hm7NDOsyP1BeqNES78884H9n6Zv7afXdFPnl7wemNKTYb8+TYNFN6I1pFDE+YzWcYCbJQ
iCiTN+6mNR2+4rxov6iYJuhuXe3lOZrNGglm6Vm3Jab6a0PYy4OT1tPZ85TZ1XVPQ54MmjHynr2s
Ka6AWK/YQqQ9fBswKmHrDqMQFXiWv48w2TxIv57ex647uHtLpc1dHPUscMI2BPtqzqEXsXSKn35k
zN3egFgQ7py2mj/HFTaIXVIS9XAOD4hpOY6dAA07tpxGEtsD223a0fcEk9F7o8rH5zZmE7Drh5IN
7QjAmtNklDpB0ScFe7epnR6WclAPWGCoTOCH8Rk9UXycrSGPr7olghIxRZPk6OJ7RLBDNyJtYbEK
ujalsZT3qTSLMFAYyqP9HE3EThRT5V+WTVj+yLwFRZ/nujSOU6cCYprR3lt2Vl0BbsH5RzJwTAP/
ycGnatHLbD12TG5/TvMaIvYhTtcu30NVkbtseJH/RaBO61g4V/JZkYQqqCOZDW2FOBk87pNiE5Em
yXrteue+nwhD72nKQxMKQW4RVZZauXnl1G1vHlS4VF8cYg2X67T2JJ5lHxFqkI3+iAB4ROG9c+u+
xN+B7fYRy517j6djyfk7uhbGcCuMr7Wauhd4xEQKqSqDWdIQuIbZyyzex8Btvq6dXzwq7OsFeuw5
+Rm2kMyDcS77J9H30cuApRoeSkmoEm1NAxERIKLm58IrPRvRXVWxfrksma0tP04Wx5p9C9sHxomw
4r2nlvGbcmEXDKZE1QEEm1v2rvRjCxdh70JHxwuSHN2hU9EhTH1xgwaRWwt0sZzYjKVZFxYvEBdX
fW3VQHbgQLA8JA57BFz8XFnATpZ14LK4L0HmFmhb8oq4D2p3UKimunJWh3bpxo/cc9ImayzjDISY
LQ5xoqkRK41hR+PcYTBkF4CSob+qGWPvp8yIou6wuoWZ76MpQ1daAd16UZxw7ok5mF8Mo06Rhjt0
9Hc5ot+OMR+Z6E5zCd1rTIomx2ThIql22jX9Fjam+i4J1hX0KQeQO52NnfhgsvEX+6guxjyoRNzE
sBwmpAGj6vPiAL0oWiDb+Z24JbQ+fKTHOpXioSe1y7UfVdSb62EaRh89Dm5GL/Ye1t5J2nvuIGKB
Sqns00Dx/35WzWpexlkcASA32+bHioPEOsBW7KIbFOksiF6RN84e629/YVZTPRMGDSN+j8Kbq80a
k90MKaF2k8B1SRDblVFM9Eeh5vTJtVOygFKAJAv2uxRfXBKX/K8/KhLsfHgQaDeX5pNhNmQN2PVS
fTLhbX9MEdE7+x4JUrsz5zD5PJPW53MvWC03Y4qMxfYN+xkpMAudveScgaQ3d+2u7jjqw5mBNc5+
xhngaFgTNjOkwIOPXD2b7noR3/UG9g9wFnF7ly9nFHI0AJU+Ae6QXzCzOFmA3oEsboKYinIfsdxA
d2iXWAZMAz7rbDLk5WWkcrf5YqWDZ974qOfIF5IFkZd9R/cqWJTFl0J0lZ9TdFhfV+YOaZsJqdqd
mphachxYgjMhDI2bs49nbA9wtUYP/2Y8tgNy8H86vgYsggtLNglVOPYj7yckp5jOfiVIF27SmCiO
evLbB4wKQ/UuJZjJOzj5jIZ2ZxpR11+FKyboB+JgZrJnZjGnxWHNzsbNGkffcF8SUhZe17OK+5sY
dE6bHMxcDc47P18ZlLuqHt0zsqCWtfEJ5/Ha3QtAIdM3r3Pd/F1UT/0YHkn7EeokY/C4h8WMbPOq
Vg5Q9N1cZhFBYEkZo6Ddkae+Jvd115MjYuW98o+DEhYHy37xCdI49GE8s0Aasjab4saq17Fd9tAn
w3k82I3fVcvOHXufmw2740Ir39XDojxC1EzuFZ7mAWQFAd8J+wl7Z8YTrkFPrnXOAVrgg9w5GVr/
o58rE7ubmecvxux1tyM5O6XFiWsyyC+1U4l5f6ChTUc+rDKWBAT5eydBusJ+NkcSHSN5IAPN3I+Q
SJxH5kCCafbGKlE0nGC9x4BN2poJ1OJ9Z07xDBIzUVx2LiU3hL1TFS/FuJ5nEe7OSufaKpWfX2OM
TXvcuqhMuD/reAdPieosgVVyTCybAY1o5QYARTM9OCNZaihmKu797was+YqLMpssJxSeViSsnVel
xoCFmOCa5COLVZd9AhfrntUsLv4DWTpN+rgYvl2dQtF4zXXWOk7yYU7nhTfhzrAsIB6E3jXuphUX
b47bpcj2S8jd/6EszcrG2WvLyhWHgT0cLo2m6S1ssZVriMuM1oq9dwrkM18gUoUfaPFUwg7mTvh5
coqAOWbzJWyk2VoJrXXnCO7/YPXGSCpUghh+DbDTAnkPEGsKle+F2fUmzJvpHCQDWw4X+A1GMMFK
PBpO40KVY/gTcOOqgi70fzX1/he0BP9D0u//hzLrc4Pk96qB/9NGL5CAy++vlAP8J/+SWTviH/TV
aKOYti1pp5wTW/8lHFDiH2eptIcU0AMYjiv7L+GAbf0DrZQ0iV3nPpheDP/Zf+sGHOcfNGjYA9BH
E+B9ERxo6wYMpCh0Mrl/3jTjZDNQw2GMQjkfPnMb8iMcPv3yIv6mb/+6EffvJ28jwblSwr818GTL
VWzc5t3aen/USfzr0edm+i9mg4TsMS4dRBbAY7szhXGXW+LPMjf/evZZhvDLs+uBe+8wC1niJrHe
VqhmiZTK3YPeSzn3+X55eggRs8sTLwusEaybs4+St5iev3vdm35nlQIIWzwr4yKmHK9WfFOHPFv8
j3q/+/yv/vK77bBdp1JBTcParvaJTNeDa8jPeg8Xrx+ullhNHMSzYCgy+JVl/30yM++POrV/fc9N
H3P1ukQ2rGWBYK3G53xDVs0fqQ3+evS5hfrLS3HKeeYA3udB7p/87nueaFbOpib5bHUNDDULuqiz
33XoqJ9EmnBu0nrdzqadStgNDT52aAF2/cu+XR4yR2k+elOYqpmaiR1AHqTeMF9zarduQ8/4L6cP
Bpy/B47/ZoQ7m8p0elJV2oXXEttPTU3gEDExem9kW5UuskuV2nxI8CRu7SGzNrih03v4pjCTscs6
yX1vwDXNe7yX0YVTz+ZR7+GbuiQYuqo7q86Ddlnyp7Utossutf03JEK/e+ObwpS5BP04dnngfOHG
l+sxvR+9KcnwTDZL4B4EE4LUXWs16R5ail69b6MLSuG5jSoZJdGcntoIYkkB2VLzl28qc8Q8Wje0
SAICgTuAdglcP29o9F633BRmzMFljSYWB8/PmVDo3pH53er9dLkpTWJ+QVB1WJGIiCxA9cJVWFTf
a/70TW3icB4IZOfpdUoT5aGqr7SGitxUprTJ7ViNJQcPO94WRLfv2rJ+r/fsTWHS+YhNwIdpgMTx
ssqK4ntcOeKb3sM3hdm4XgesgZSp1HWzb61L1BlYnrbUq3u5qcy1MDlhSTcNwi45rlMlLxbLeIvX
/Zuyl5v6zKtlsCKTF2PneXUInTK7GN1ec42Qm1UzRX3G1RsgtJZbTVNOe3t81nvnm+p0FQfEOOHe
phskLdZBPgvSv7SevVWClsA56IN4SeDV5qGYa1Qk6aT57E1pksrEHZNo0sCCmr7jEvSCy8/6oPfD
N5XZc8lCz5UfTvDoVSHITCWn7F7v2ZvqHL24LGwOykHKY01RPnZFcaf36E1xljMWPFKj0qClvXzZ
n2Ea7az0qmcrX86Ax8q24+EFrmjHObRS81dvynLuaP4WrGfBkkM6ILachhC+Tb1XsilLZHgtzMqY
YdIYIJpjUwZYIx71Hr6pyjw0ari+RRq4aS5zHDf+4nwF3VzVeru3f4r8ftksK1X1ddzD5YhXGAjG
57gVel9zKwwn45d8QHEmfhjLVR+hmSq69UHrtZx9zr9u8cGepxg91n/ScH8Y6OlCp/6z4Kh/Hx/s
TWVWphrmORZxMIrZ/ZCa8yNGKfuNXIvfzOH2pjTDskkS4Q8gT634FjkQ5x7kJ3qr8tnq8Otb8e3e
QGBXxJwGX1rIYOWF3ts+/zG/jJFOkO86Rjw3nBAq+MZhRoel9+hNZZZ9zpESDFQwQcdM6b57mhur
bSKXHUkEhE0eB7jRZ9yd5VcOtG9lCf3uM27KMqwzfjZsUwDGYD09o/NRgLd6G6D/CJUxuKcCpsNn
TL4SkwTh2NTbDp4Tq379kIZZp0AUZczoQxbbos7lusB6K7PlNy/F2hSlmZpOjRSPYUJEKAWEVgfQ
q9Y42QaU9O2EatagKOfoO4tyBoM80/yY1qYmcy+xpqE4j5TcrgLynz91ke/p1Y61qUku0Avbjng4
2CD6mCe70tz6WJuqHJwzyGZhmExpvyf3btoNbpbu9d73pi6J5JGkePO+C68xd2nBtXjkG5PmONws
mWk60/qHshzYJKjgiofeX5PSfdL77ZvixExPk9fj6ZWJ3i2bXtDhuJrjcLOXBb0QjnbMVNgantwB
XAmytQv1XvrWtSAj+i2wbePAbez04FnIQKyiibWWHqwrr4u/913kDkVPCdXhcApJHd6LCQGc1kvf
pkiiVR0ic+HFeEa9X+s7t/6i9+DNctwWgHiiSMUArNFVpuiD7sfJ8zSfvql9Y7LrNIsr5ixkYDEN
N9wJer97U/hRRbx1hq81SJsUezfhQ6vmq94UPqQ0fyKyg9o00NzF4sc8cD+m96s3dU+65ZIb51Uz
m1oLD4NTgrUo3rAp/maBMDcjsG48gZYBHjNe3plc5/EwYnDR/OWbqo9hPRYxVJSg6m+S5VSMepuq
rWdNAVInvnaIg54mfp3nt+sY6LxrfKavCxLKxzp7PgVZkVtNA1Fr+wA7/vVjSzkNXYx0MWDfc+la
UOHC+KD3ize16APU8mICzgOxulfFdCuW5I0Yv78fGt42SRA5gznNksWsQQXxIRbdYzmUmebMtynF
+Qy1UxAFeNHyY+vd1k2oNX3QEnz9rmfshygqWSbl8hANQRlrDTrSM18/l0wfo207ytCS1tMCvmNd
hd7G2PM3hVIQLNKZ83nYVeB7SeoJD95gaC1hxJu+/uGiUHhimpKHR2X9XXm1dRM7Kzp5rQG4tZzl
vtuOKamGwdCs3m6M51MfGULvt28jJGu0R14D6DJwsrb5vIbV4B4FipJZb4yf/eu/7r4j08yMNIID
QST9fUbKSuotF3rvZbOMVaNCetkxwjG3XMQ5OAsCY/Ru1/8D9VU1LjbH6Vw+xQkr1/tlrrUWBM/b
lA8xWchTbMpHlN4FmrzmBCk1Peq9k00NgbBKO1cwDy49Cq0jmGjIOArFquZgdDff02RSaea1hm8L
dv/eMZr5Io/VrHVnhV7z9WhJmBRIEoCeOw1gFdOx974Uchj03ry7mRLbggTLbMjdY7nYKXiOWNyN
Td9r7X2wLr/+7aoo/N7Gd3XE64vlwCQPZSJmWLOONtuIluxwTsd8WCyG6zX2wOe0seUHvVGzmR2H
eq2FPREgJq0Hh+AGa9bTGOAafv1ShjC3J3leK+zYJ+yBkCvXL0y9iVFt9hKqqRJjxu0a5FN1ESe3
q5GctF6I2mwncnw6XCGzXGRedwci3zqS7aEOeg/flJBaVssOkUIHo9+PN4NpljcNPTy9DZbalJBr
EvtADK97TFLgN+0oy8tlahzNp29KKCstHFRtT9DIWBcnHx77ZUgslOZr35YQtozZ6hNWoJBcaqGi
hTBlDO167307N4IPWxBfusfM74YLzNXWEQGp5kL6T3bkL/eFZlgYfls27tEb6uKd70TYCJa01/zt
mwrFHJ0sIbnAxzgD4uSILj8ZsfXWcD+Pjb/M7f99+wt+83WVInodydph6iKwK31SwKSJAgA6XZEU
eLTqxNWcgDcF62bx3NemIrQsbK1rdk0mgvoo1Ksrd1O01RLb87RU/BW+W943skHbmGN31ho97mb0
GKUh0H6zNOHq8yoCzpr11gRRobl6bOZ3swulsZDXcYTlRbiBAfy38ACQ6f34zfBR1gLHhmSkI1Tl
+8YA7FiP3qR39tpCQXLBzWEasaxmsLevROfMF6GJZ07rp28VQo5pFX4ZUVcOYQkPMALtn3GV/BkH
5N8j39mMmWSMkmaOeDFzPxQHSGXYANn16S3aW5WQb3YCPCdVW3hLD1USaFjrrq7ebOlsZvoCQ1oR
Aww7ooiPT7OHIxlGRqZ1XQkY7PWcINHrpa1kpieE1j52o+iDTkIi0/uqm5k+mbiQH2Kos5HTzIfe
nIrrwXX0RGues6lVsIRNl6qCMeOM9gXbAm+Ptyo76v32TanOa+N2HokRxynphvcApaPDKqw/o7n8
NSI3pYrF30PoRKZrO5UfGsORV0jGXb0j0xZ3M2RZWdvT6B7NvnrOutq/FH1a6T18KxkihpJcGfwL
xyEnfDgSpLyS86GnhUWj/Ho8iqFJ1syd3SNG0vhbQ079KVV1otWSQ/v8+ulQD1uCgoV7tHrPOOHl
UFfGcvZbaQ2ZrXSojA2/JpaGs0EzLPvQE4j01VzolSqU61dn7BCcZW6VvnMkfwTXeQnm1FvTPwMy
/XtAbmnqY1jXKXZBANFZYXzEqz4frNrzC81Xs6lVTw1yJgOC8U5rG/ZLMu/NYh73ei9+U6t27vfF
nFFNTWK7pMVmydHwYvnGiD+/4L/ZN23lQyRrJ1XhELs3xB3cHRJ2rjNnHi+zqvH0NjVyszXD6VPA
nmQqk5a9fKmJGL73C39J3nj7v/kLtlKiBBIFnXn+ghZfyLs2zInYjkoGf6Pq+Y1/4zyn/81bOtsN
fr0CimtMkvPsOkcAL+4lhJDojPqdnrS+sNhULvbLEkIqMSzgkZOLGrrzqestzctfsV1jVZpAopDO
cV299DTDHDgSqhXqrSRiU7h2xA9n2XOOXpQoDiOhIjQsy/VugLfKIkLOBw46DJ0YXEcgOxtLfV2/
hSX83Vfd1K0Tm0bTyxUQhhtPQVmSYiGy5l9unj/UV3tiU7eO6QGtWjkJGl1UXFRJS9aFU696m+0z
OfPViDz7WFSSq+OCQ3yPWtG7UB75RnojclOy0BymJErZ9Zl9UT+ficvXU1QuD1pP3yqMeicLR6tm
19cL2w5Irvcv2h7Dmt7TN7U6mg0lbbDbTvtxyQ9YzduXOqpsPQWgt9UZzcptJ2fh+R2QJeAQRIie
wlEamnPNVmo0G3VWksPnHJFj9J89k7C7lSzrN+b785zyNzPZVmuEinZM3POo7ATZCvucHtkeeJH/
Hra7ODMq4LXRTIz0Fi/7XHq/XCmMdChSwlfVUdCwPXSyrd9Vk5Xe6X3qTQFzaFu9MuSiKMoJ58NJ
GUOgorev9/RNAbvzBGitZpO8IEh4ZFVvdyg35Ee9p28K2GHALHJmP9WZ03hN368/rm2vJw+Ecvj6
vdM9gqgUOS6O9iK34DRVxC4zB4lQr9O1lSRZtMXzM5zi2BT2+mnwQvmzJfdA78NuJUlZCd19BF17
nMZ5/jiW0noPKCt/owZ+M+9vRUkFuJxMgbE8drbV343GQjpBkVd6K+JWluSZjgFBjCRb8NNVeBl6
VvWRlGfP0BuWW2WSgburNu3CPzrt4APJJ9UJtoTS/K6bgk0bOXiyrnzw76l4V+QFZvMuU1+0Br21
KViZOV4Zx8RPeh2GOmNQ/mME/Vjvbs7aFGxnYom0BuEflWzSSzLpCnII5lFzTG4KtiTiZfAM1z+G
K+F7piOKpxjf8Yvem9kULBEZ0ifEhPcO2QgM4NmanSLe/KD1+K1EySXy0QcC5pPUAPTsAPfIhbIV
+oveBdpWRuQQ5TDHXhUeF1oDsOt7oJpmK/SGvLnZIDuCvAW7JMcid6z51JhTeKictD/ovZvNBhkU
pF9JfMNHYJ/GjnRQ46Luc1/zzTuvZ+KkE0mOWxlkwUD8w9TH4gr5SK9XrlvadJFjWYuyloSPmr0x
OGzxri9hau70Xs2mXhMCbQsvhrfQVKYZGMJIvxdl0f/Qe7r9+tW04ozMsUvjmEzICd0xtY/OSB9M
7+mbelWzX4VcWBjHGDDCoyuq/FBPcfes9/RNva51Jkw2x8YxLEibGjzg0eQMWVqfVW0lRkVptGnn
5+Ex6gCaGO2S3QFBFE86vx3jx+v3vpCXMJ+bPcdc5PZtbBnNA0f0fK/39E2xrmZc9O6wGMexGecv
9kyqagicVeuiSG0FR5L8bhtGangsYU0dpzp9l4RFddL76ZtaJWUGVnA1hYQiGaTNL3O4m9c41prF
yMN+/dphwJW1kY3GUY5OHaD5T08wkfXkQeCzXz8dHsoQOatDWht08/WSHPTmI1zzWm8OVlsZalT0
dOwiYRwtlQkEH9NUQ6EaElOroNRW3pQqsHGN5PcXZu8euEIOPwuZJJoFtSnXDDbP3MVMNcPSNtfx
sqSXMprfOlSdv+B/HqpYKl6/e9ZpWy2ewyy8DPkl8FD5KXMhnr4xC58Xor97/KZeIXKPIDQn4+jF
A7zScJih2YTOAAAvzhLoly7xZFoVsNU6ITb28kLOxnEBGrSrwEZjMKo6zadvVtqkck2CzFemZDGL
K1NGEnzYkmtt/yCjvv4KJCvnvlFE0ambnEleEcTjPlZcjLRaG3u1VT3FfkVUsGc2p36wwiOw6Oki
rTvN2cHb1G9vQLcpVNWdqizKD8MyZuVurZL1p96H3ay1cnDixMLcflL+3B56EPOHAjKw3tTmbdba
NF6gmdmFcZIDu8u4yqdTkzp6zi61VeCEsU86iXDCE3BAopls8pVf5NhGWhdGaqvBMTEdwFzvo4uM
DABwoiVtcTdrgQlqvfqtEmfsmqoKPTAZqoadN9rjcNPXWaQ3KtV2uRU+aG7Tbi+6oZckq8AbBiYS
F3rWaAA5r6sqG0pREOPckCjptPva46uW8Er0Bo7a1GzjeK4ZZpFzUadQP9AP1PeALyet62O4169/
O5zBiXE5GxdJU39eJqd8ycEQftX7rJuCbb0xnYqkqC9HIfNvjpXWz0AQ/y97Z9KbN5Kt6b/SuHsW
yOC8uBuS36hZsmTLG8KDRAbnMUjGr+/nc1ejM5VVadRddyKBBJyWOMVw4pz3vM/vxJver7rdv1j1
P6pxytkUF0vM7pRvk51duWSLUuvgT3CumusNlIwR0uAzFuZVF7S+c1MuoDkOwrK39G0RcDYo0DXF
IPPIHNtuLiCIaQxEDcdvVHMBJ9v+3veMvPjeNwu2i74wV4BrxgZY4Zy3c9lBSNNpaO4Lqezyu7Ha
EOwj7XiL9epffmQlgJS9fvTWbajOTRrK+sbP/aI5u1nQZa+YNvfYAXYtVIEnE+Re1cXlNk1Y/vIQ
afbdEIuV4XVtirb4aSzGBFlgDeFxPqcbNrwKPKORM+jabUjvWssp1ut6WjVewCNA8imBDFGmj53C
pOKmpW6Lz3eBZrR49Hs8MrEnXTOc9ZKt29zhpRoGnHfpCmi6UxjAEQONBgWjTRTObDXPn8+6P+nB
CZH1m0befxFdZTe3QWuFPVaNg+NN1y1Ymr6Ol2UNgp81/tn9rZ+7vfkFQ2klzERZteT01WJl42Ot
jSt+xsNOQbnNJ8Xv7Ptk7AH9fteV6ebAVYO+kLg/22sK4w3NsvBbuBeEigOpnVR1uywFLntbbM3k
PgwZwJ8+CVzDEFgEuiK8ACoRD7h3xdiUxW0owAQeQ84mHQ+UOu22v9gDVlc6CGT1UKx1t4iEDb7V
h9zd3PEGi+4KP39poDN40iEY9SqG1OmBTXBXnXVHrJRd47W24VNiQYu6zb/A2+oG8qSJjz2EtSno
lnGGJVHYwxLTkrfZ9tVWVIq0mmltExDLtfFdMIA2DL0x7vVoXMDfTZBigQklyum+KRtux/OMKWv+
3KdurwacAfC7wWTdEytmCYad2fnJm/Gh+ypHURXvk+kbutgjJNdAfpVn8GOxl6tiPRYrT2Udtjod
KyMqcEfAuBHXO667a0LkWsyJpZ2Dd0wncxuSd9Gn9Cb2AU7/Xww9zW4RD7m29Q8wr5vxE787PDDp
c5j6OAdcWO/sbunXBsJleZlgfj/lGA/DhwxXaAUtML0rR7a2NewBU3hTszOAXeEW7s52DhzRD2S9
vF3gIvMjTp+bHJOpnfAXLufs1VuH1t8VeBb2kTngTpoMuNJNP6yRd/SzL0bR4fLc1NZ2bsym9q9p
Yh/FY4AZMr3anBurh9rz5HnBe/c+FGGFvfKiMBbE4kv/EHqEBuBsPrY/VqY/OaW1ZD8zz7OdQ4ZB
ua8vVPm8T2/Wqp3Ka5hdm7PM8eqkYQmqI2dQlTeOzkMhz7jZrLKKlzIc8s8jq4PT7qD3+DJPROot
7bkqsk31CZK8DFgkhtne8tkzzFG/rbCMu2dvDA0fA/CcJDK2srYz6YfcStmOk4qdwWriavEBzkes
HsbaAwalzNjtFXX8QRx9U+FwhY8mapY0qnEd6t9p3+qAaWQ4skwdEnKMWYIIfHog4AjMRdG/ymZC
vbBfCeaqMMZBqMRiGitYTHSB0Ts9vn/mhsXVF7hbW/g4iGbxXu3NmDKBkWg9ONzbohbnvZoGu32Q
+Rj0X9a2bnHRdlanm29TExbjN1BjRYVV22Z2QKVTVw04UPUdTlGROee1tPZL5vnIBMptwIv9ulSW
CZyscsBnq2QIMINfwRsYo4VJ6LLBKnJKz3mfDQ5h1WlsM3AXe78k0b+3TDEOt70q5qaNSrkqDRID
i7qnHGcG8zufdV5AYq6BK7HXpWUnxMRxAsa1Uy2aFH7Gb9ble2G3Q8ZoLlYTW1gja1YxH+BIA2DC
Uajzsjsvt40+EZOLh6spnYn9wvcUgBajX9KfW1mp/KH0q2W+a9PeFQfeTeb8qAKnhmRdBG6QPbPR
zwVu74CzQTvkY90sp6B3dH+h+wZQqSPqQ9TA48lRjcC6fa7m7NmBooId7CDG5ctYLRCu496VebkA
C1t7HN67ZTXVw9yzztyMRV5djHlMaWEYjZ4sySodBnhd4sj74OcObMmm2qTAsdhZ1uqzkc6eboGK
9kW1JYMb4jp/tfmd9neLNXbrFZU+vMMjIQCIH5ANW84WpeTGqgBECJ7F33FAdSRG4GG+kJzE0djp
CvDjOAKVuDNk+V3hzxdX1zRdnW+Yj1UNrqiqmIB50HszdF7UCH7H5wuCZLyDX1u0zSE3i7wMDo2l
BsBRVmYZ8krAshu3O8y3S9HEISTLTN/YWvOt8BSeqgEBwbSZKeQ5YdR4rzYeH7eJ++5yuI4mbRvd
QzcFYDmwd9XQm3d6IcnXRNPgZk1wV/VL9poCByIkWAc85t8AD7g6hcIhCvXTWZYQUdo6Ws0SVQb+
zEdHBAvOwQbc6R4ixbQEj+Zs0TuQhaNUYeRW8Ee9d5lqtfX7jspR+MwKaAoZKQdT870pvHn2DoPX
qbKIIN6K7TuOy91wlYpyM89F7+vlU1PpUd045tbihDr1wJltYgvNIlBGHfNR58/rMjJA8GqdfMAW
tmtPso23FUPpF1b1wvg6+5svsqgQNTqFDJvn/K0Iq2b4BFDcbrODg/NxYMU9TrvhtWv2QQaDZm4h
oMcSI2553JpVmmEChaXpFMQKVqfHxfAVS7Lj9GDDbG/x5lMarpP3oM3SxGHU86WrcZDFxvqC3+ad
4DiLayoqD0LSGZpGnrW0FQFptKunsGnZyqPWzd3pKy79KnvrCqC4wFvNepm3SFGNL17DssMpJjKW
qrA/WyosoCv0Q8sBJkqDWRswnYG7YwM26qbDmZ1vYAO0gfmyFVeupwbvkeKsHT5J7fbVxJcQVk8S
1utlQ/oLfhrUXJ2V3TlwUrd4qfTsNj98ITucWJ3GxrgaDNZgeT8knGKF1770Kvk527J0yOjGNYh9
ME6FAXuqx7yAqubYqJtfxqqX2M5LTIcNXqA3TQytdIPWeHAlcayApWUGBeugcg2L/gI8YHBAngaO
xZGsqy495fk88gbLbbWuiTmc4MWuWBv3nbYuNmKNxiLuy9baZQlgWSxDGTljbaevtQ7b8YFbcVnk
0rmqx6vFbEdx79UOlsEhyjz4UDWkkdgIy8nCSRrvvfSxTZ11OFlrVYk93IimJeBWbfg8+fk60JQ4
Zttrqn3YTNGWGzYcCSs3W+fG0MyJB3MrEJ9FXR/qso1k5rmVZImtppDH31r85dk1VFM3hCSOdMqd
HY6Z/zaWuKN1EZBpHGzxmqfAenRrdqnPegOMfV4hTLmwzVhPfuiWF/ZQDpOr7vK2ttXtirAlPyOF
8mm34/i8BGcwOcP0jsVxo3YmzqUwwNRs5e0xVXYxfyk7bDeebESJ+aNacNZvoQUN1vZSyrHsj9Rj
8wWbXxOj9ZfBpGb6E66H1Vg7e1Crt0RAgv3lUxn2goBeZUvnnra+ADxzrLOiojVU5sZcg2LqZvfN
Ak/msr+WWf2ysIjwfsjISZd3sBopX4H53PdXq64r/c1EvPewcdRyr/35AlhSMFnu13am+cGWgwyf
pZSFqmNOSIN7Y5RhWb4K3KWKu5IkhNgPBfPwWzb2zMm4dNPQpTsIwB09lJbzplLARw8bDgErh6fF
MN0jdsNLe6IIHUyfWgBD+fctHAIen6W+3O78palqZlu1Tc1NZmwX6HGWL80XeyWMjLrO881T0WVd
fz2Y+Wof1CwBwblulwNAV+Um6mMFCqlnFRjtlxk1Vnc3p0qVh7GYDKOPlNkExqe86zPxVlbTMh/Y
+fo1AteGXTLbos+otAoBsGNShXk9YJ0cvjRdUzms2YHbJZacg+55bRzykbxlzSQYtT/R1TV7hGQP
xrhMpJ7nMm2KnXJ7A6BZoCb/EQvvVZwHlTn+sdBLVdELtobVrV1pmB9RrVl9Pq3htrpx2wxzy26T
pWOkvWKcr0xzyb1HfPxqVYIE8qsp2wVWMDuPpOHccV+sqmQlXByc3PaOBrl76MY68HdmNyrsqWki
dpYdRg15c03w6aszZtuWt6tBkWf7wmaGnmvdeNBJHI2Bv/Cl1V+nqjQvZqRzK8srWTtLhRbEWsrp
ZG7THCSC8251qxBfjac519RYvbxq6yyauUPv6DeZ9G5XNwjsazz27SpxcUrvuFnakHxQI4E2r9LB
K9sfmVcH45fZx7T/zqqIojnA0Srj3QHFKSGkjNOgrr1FeN3JgXLDmm/NyjxJZ7DWazpIcaAAaDM5
4deylR2cdalV86lkFmO8UGirPwwAifSdp0anI7QKCj/HcRpwcH1TlY3Qt8rjRTeQdYzVFMUJ4pdj
6AQ5H1j7ODU2jL13lcAT+zep53+T2fY/JPbcGk5BWzjZaWVHxL2lbntUMNSNv/7Pkigf8vK9APRO
eJOfqtXsYd155m3ZtP+zBgC8nf+c/xH1NPvESfoE5GiMwIX1n7agSx/+R/f+sVnHd/XQY3+/nHpP
WmeRV8XnS8T8m0LXL0XWv8j/fGxTzRZryCCfl6eqrfKu2Dmexq/Rcob05KJFooUKM8cswWTdYNhv
NTpGE0/tNxmWnLWKNnNvJQMJQp8g9NJr7HQhTADDGTZAtDKgDS5x5jrgL4ydk6UH0bdhFxVlJ/yo
qtC43hih3wBRxA4+Z1iP1MRMDQn4N2PrkkH8Vw/4IbOIWHqbsmJdTqHP8WGvhnBaj2NqLe+tOVll
UmKi8rta8L8Zxx/7Zte+tCHDbCOwg2E1zpVsQ8NNbGmZbRK2mjRM5AILhfJJkiyY49wJyZ8hkbMg
6oGaMgGxhPYy7ix3Mob9WqXjcAxr+FPXnkqNMu4aOrfmnTOVBsQGv4fDMN5KUXkEZNMEtn7CLXkc
u+EOweAy32LmknN4GPOgP1/0Za0BZqXkVL2TFyd9d1etbeGDSs03MDEL6444lF4m1oPKBmv5VINt
tSCReqqGKJhWKYZcnGY5v2+H3nYtEjG9BiURmykUwEQsuA7t6gsiR52BV4Tqtg68DD+wchmXRia/
psT/d7D/Xxdb+mk7/fzv/7pY4f57B/u4ZQv5Lr/90cD+8hP/NLD3vH8EruNaLq2CQI/dSzH4nwb2
ASb1cIlDPCgETva//lfTDlP+3/9luf+gyQ06svBCy8THnp/6v/71zj8u/HhQ5/gLhZYNq/4/8a//
1Rv1/yalyz+hH/i26WMnD4f5o2ifpqNhCwkm9yNj+rp+aR+na+LNR2uv9+lhTbZY78tbCzjC9XAC
WH/SSbefb/uvw+MwRuq9/NRjFRyfoQwnarclz0vydN3FIgkPZgSNNxpPMpYJBXaiKsKKvY4Aev38
wyu//z+3+0fG/S+d4F+fwoHPd3kKP/xQXlh8m3h14SmqL/OuS4bTeGDWrZzk7wU5rRdEwrssyU/1
lfP4m0v/eVX75wsMLM+xPeH57kfl6yjDLbOcvt6Lg96vr4UdV1+Cm/olsA7lFZSPkwZN6Se6uW1+
U+P+F1em+4fr+mAOMBD7UJjAPmapAvAZe/D0+yYgh7f6Bytfb8nI/uYp/3IpcnBeQLet8DAQFR+X
1XS07dksXbm/0KS6nEMU5AOzOLZgiv/+fTKy/7BJ8Do/XOnDZuEtpJv0wJWU/bg4T9X6/Pe//5fo
809DBYCiZ4FwYuIFIQPmz7FCMBdyqgeSaU5b5P1nSE2eQEvB6PkclEbd34YIOd29a+i0f6+7YPWe
vNENu1M5VgD5umrpATP4ut3Gq64G2nts1xmIJZAWR73QAGrbO4qW6Xz/9zd+GcIf7psVxIXmbTpg
Kz5WF821NTpyNcVequetJowMoqb7j+pnl5fP/LHJxHtm6DKwPsRR1WoT0cN838+KWeOewRT+Jgaw
LoHeh8dgHfSEZYnAcZyPPQGzP5Ez1SC4Unf62VnNziZjCLf4vKTqOYR3XXLy6R0Ivs1vxvDl5v96
ZQQnlyuDL72MvD9I1M3B8zNlXuBfN9njdpPeT2d5vx6Wz3//nX4NoL9eJ6TAJ9zgUn/783XccWyK
VoRyb0dfYTleA5WOl1glbRzu9CH7FB4oGP2m5PxL8vqXi/qATUgBCzj3HxbAJvRTUttwG51DdWpv
3eN0TPf6XNx6R+Nk/S5UZT/7y6sMXR7NoWhDi8KHRzSM0m1s35b7JfYOztm4a2+HkxOv0du0I8Db
qR31vV0agSuKsLz4zcPal1//8WFDyPYmxQrhMpX//IaJn/xUAHjeUyg69zzsepWevFOQTEd1NHYA
WB/dR9C8JHhUpGMjiIu34s34ad8Ht96tfwpPWRIm5pV/cn/zZn6957+5tY/b6dJl5qKRgu7XDF/Q
Xcb4Ho8T+OYq7qpIcaYCUE76o4vqJzKz4+/8IH/5Af/lBlinLQfTa9P+qI32m5YsC109ezTRR3sf
JqiJziJejsGuvKXo9UVeTXdpF/Gvc5/eOXtxZZzMZLluP7X3wxlD9Gj+zZz/65KORueybLkiCN3g
4+eau7bzw2LOKVHCzLwx3WB4LAA8/me+TZfViz3QItgi18/KYn6YA60BwEygqN7Ldl6rZKsEpCrW
O/k7V46/LsUsRK5LtZlULdC1D+OP5HNfLwt+E5Kih1fPQayYK0DM9e/M3v+y7/roegPb8oXjuaH9
sSvfDcmvBt1m7LLeOIS1txPhuZFlbDe/2+F/dYr8aeBcLhWSReU/NFL+mnR/WB5zqx7TaZyNnRuV
j9vtdGd8n57cq+GuPIe74K68b3b9nX5eyU59Nb8Hv5nTv9xQP1weJykb2pMf+oKY5s9zuiM2RSVQ
Gbtp352GU3rO4zyBrXcS++62Trr4NyHjx0HpCRZKUzhuQGTDUvIhIWF5UpNgZZ40oITAYKKoTP5+
I/j47bgC6gbbNUPhCpsC8p+fCM8A0cz5Jvdb3MZQiY//meCZ4e7wS4lGLKJ2C2n5h1eGFtHu/c24
IDuoP2LjFkbOtHS7v38Mi8PIh/XWcwOLV0RIYAmm8Uc3b7+E11iFskywdSFDSNOtyO+8sZm2QCZ9
3Q11hBeWX8fkF7gTF7r4mKyuAUnWmIrlU0V9AYuZejDNPeR7ONlVlo8qHkI722KIod77tHX2HcGJ
dXKbajIPmRqt73YOsm5Hk5p5X3h21ya5T+d+sgV5tw+gaU9R4bgUXpyeQwxURafN4mlGWgAO0oYh
mW/K/eQNuTVHBR0jR/KjS3WF22w4JSHF/3WHfrmoCT9m6soe5Tp95de2KZImLzDFEZXZry9Fj7w2
rks7XJ9sDyueMMot0OsxpRg0BQHIbx8mXb3O3EipHsbcgKqnsRW9r0pvXg8WxYQ7PcvlE/IQbpSO
dDQg+epwi6saqm/9nJHmGYMKWUWZpuOjh8T3pk/NadxVfu34wJN9SyXeXI3WgZdJepEqTHoHPURC
OCY/3yWVTa9lAupuA/FoduqnnXW2D3l48W+9blbNjtoZzFi/kd6D6grtxLrQZr13cwuSeq5Vewv0
2emAsofic9rb5JIlnS8kNFqzlwAWpm7Zk5ECgpprz/NjC/InM8eXS5MgkiqvW63d+6ALFrjw6EGo
ErLOrJTlSdNHTt033XmrOq62QCmcono2Ozv2Og9Kohcu3dfe3mopjtbmg6fNwEW+Czcfu9jXBYfH
2Z8vbMRiBFCJjYteYuqzxhaXxWBkzGMjvS/1lE673IdhLU+Vr8IMmM3S9d8KsSH9aYB/y90FD97H
m7C7MLL0tt7AfwzGBM/WaYxm5F5ZMkPm9TERKTBTDyl8vOalblCYrGY1JJQT2byDogXwSf1k3eVd
GVAYMw2H1oNmmba4kM0GtL2uh+esUxJGqzPb+lpt8FhJJaedPPremgY7l8a3apc3jEBIh2VHPb8V
CFqaJYiCkVPnRScwd/FyMZZhNmn7s281zQuKqOqnCGr3m48hfpe0eMLYMQhIomnfN9rjQs7riTmt
3ePg2YW1K/jb32qvLobY8P3gxyxDJEjZ6Kt3xpbuOaGmjoUU9dKxX5fTogDGjuYYhTB2QUk0TlDt
M9smnVYgqEDExHDaks0fLd7XYvavoduuDO+wQ50b58EYPPfCZXr1k1tnFKZLszkKhBET2iGgfagv
UpiiuVDhFSjNDRSzp8w53ppuoNStANYUgPwC6mVTtR5IaZE+vvQ6cvAhNv0xFrXMdmZfGU+mjdd7
NObSNBLR+i68dEwlcKvXeWDHvddXCrETzNiDtMl7xrB7S0G6T1lyVxSB+YoNnoBZ7q/+s1ikeu3A
WGfkCB2aYYy6VHGd2dWhMar5FsQwYO6RV3/t1m4xx607Tc+zLdRjMDXK4j16ZAb72lzHQ+8U0xX5
1EpHPhzBN7EC240Xf/Rv4d3DNLUN+t6pqfe0P+Yrmg8vsdLMzU99LgAZFQCf3ksCHnMnSgfFAeNt
SJNehGpLLERow86d3U0kkKahgg4ypX68gc4tktCc+y5J6/q8Utx/chvLeBCjWupESUTIKEIM9y0z
Gic8daWTD0esbj07gh4qJ6RyltMguRDVmniNHJ0oHWpBQqfX1q0YZZfHYRM2CgzruOQwzLEUjfKJ
BnIkdWCkkrlCoBQZaZAO+6wder2DuFVnB3IlmUimYkjdeDRUDscqTwk6HDLf88nP0/QwZl1pJZOQ
1QafPJRfB02qexdSAKlvM7+snypmVBkhHNx0HCwDlfXiYo4YIc6RQxyoi6oE0jjw7SJrx294Djnu
bq3xYbmat7wVR6e/gIbzLg9QUJoOU60YhzlBNeQV0NyHGS6r3Q/Z/tJD/Tkcu/DChg5hJftl111X
QyesmJQ6tJIiqCo0NJZKl5tFpbLc9avV5bdzFlgqduoZ+uwc2F0agfi96L8K4XzJmlm4uHvP8r2H
Lu7tmOlpEM2TlZUnp0FokxTBwNK+6NmoYui8I5VTZY5v3YalJXoE3RqRu632PeVPo4uW1GFGWoEp
vaggrvk5B7X0YqJYNZDjXtwAqXCGl7NA2A6kXM4Z2x60Vs1k9mfWpw0lZNSO1Ctj8o59G4912L6C
YZnsKLetVUVbmhUyMvC175AXCP+KBUUxMLp6cvjzoLT6S+l+CNVrBha33RVYSbER0MA3w+wGphqP
7SC/XAp+HIKWrP2Zzjpr2NbqzjpfAL06BkVk+kfLh/AcEw46Dy2piE86VBMgTEL/n7jLzldQ15E6
ULyjuEfGyhDsBPVypwLYyzGuQfZP+rZ0d1g4lvRxkW6holI6IAdc61l+6vEOQFIx2LaTBIjtyshe
Mudb7Tb+G5W1dOXS+ewTzmSrjRZsIIBAA7Ad2v7yx8vstt9DKu4eZftLWDJam2mhXVg2Vi+PftQ4
r0fL2lUtU/e4NjCQ8tj2lPGKXgUZRDdapU27Wtd8NVp/pooJhABQXD8UXyZnYOU1PXDbMXKE4qui
i0vFfa8vGrN0696oIuN3ohdz0sepctoV6HevnZ1ruua7pwQlUriQg4hH0l9Z7Jh6eh1qu6YP10Af
gX5FzC+V0KjO6sDWTuIW1vBUsNFaO88s1FO6zqG5Sx2o4rGnWed8TuffHJleJoc/SofJUMntZ2Gu
qLhGqBVeBhikarrbQSKyP7D7tuMekaf8Nqy1pWObKXWah2J2YxZW93NVOnLGk2DKb/qp3sLYH0L9
uPkZFU9/sbyf+FkuCE5om4rdchqaeCpcSuHVmjK+08X/JD13S8zMDuReWqU7Ab+WDf5ZKRVtjOIl
Wb7rHjncV9XzQh6a2fTfNWfBfDfaXi1Q9k31fBiVsqyoTRd7PGjWCnvX4vZ1HfY98aAYTLeOu9yV
emdyoHwOEcDqg21k7pdynjgIISrJ8307eKlLub1CjmhnOkA2M+IyWyknaOKydvof2TbqKemMtaPm
vNrivc83pCnoP8Nm52GLBo28KPDXtNwijLqtJvO24IkS5b0dTlcYAwVXDHYlE8srqMsq3YU2qkK6
b3duZRfvadDhFZnPTbpr5YSZLv7U6b2J5MHfbdZWv3h2MFv3ciuMMjum2zL071Mvje2Z/KW9FTGB
kXmesYegdmT0wbiXdueWj9qe1JJogv/lYAhPz8e+xcrgtdeq827ztKelWzVm0N3adZaWDyg2vOk4
5pNYKGItyo7GPl2+5JJk7G4M6JePpnZoqFwNgT0lRckMRHzTm8QLS7GWcSlLXz4ExkDsuFWNaZJo
traL/j0t60TYWf6DJF7wtq6anSlb29w6GH1dOi+T36RdXPuO+epwu9mpsRpt3tj9qK0ziVvpjPEW
ZpURl2IUjIB5Svv1WqaoHtz4Ija41qQUCMyrolbhzlfScLyksFyUl6ysKez10pPbdyXWi6RkmvXX
acicF5tEancoOeioyJJlb9wUBevtEVeAdIhZwF2841uL3X5FDzyh5y6lMcuDo7JMXnfdZi0nY2QZ
gaqd6eKJHdYgbVFhu3AQna6zO6WUvRzx0mXNJtL3690wux7ST5Acy9mnsqiiMmv65uyM/dAc/C7N
WIIQ8lasrWn4aUIoJr80GLt8ob1GhId0QTB0XhvD/BGix+nRHdHnd/SwN8nisXIHBQcuzxf3UGjU
lRS+TSvfX2Rm7W6cQHk/kO9Q/q1osNFBx2FcnLAwWjeQMii6mvymspxHHL66NlJjCpYtCmtnfBNZ
2ayHYSDaoY1ApNW5sLQlAX+zRd9BzazFpZ9IuE+96w9oNao1eDCsbnaScDTccomQuJXuKSBO9F6l
ybdJ9GJ7HspzZskNZgMsxL0922YyLOssE381zPIQ9vSV72zHRNpQehfn00o0TnY/QDRbOUrpGX0p
6qEgCucKoK65NCmldS2MbIdMzAaaankbM8oe2yq2PGsYebNrida26po0HoptU7uJV5V9tU3UdpHA
vW581FDim2s3mGQAh03XVuzBhHASz278p4Y/eVThHNyv82i3h9ozhx9u7ev57NKHUT20hb187rM5
NA4sEiEC/HAARbCN9WTdzGarTDDmq2YjdKdseRXL5tDbpESLx1E996jzHMDJj1Mpm68AYqR1EEEa
vlsScv3Z0RybbkeTb5f4fF/z7JcCA6ZlGDLrDkPxUp8QQbcE22aA5ot91l23OjE6NMa7aXKbKfIa
7EWThUhtjQldqnerkkZ77il50xsx66VbrlosDY1kkk5HgGiikPqUbchNbz17mKrINkZG39TSPrGz
liB379pKWtkVyl69RpUk+xY7s5RWQNa0vUQ+ZmrVKpK6ntOzLVAcv7QOxioRgkH13aEPNlLSDl6Q
yGBzI7FGfzZH11dPBkLbOhbbYrx1KQfpvQ778YcwAoOjeLPpM5ghozzY2ayf2k51KKGLPHubTGcZ
kgvW1v5Zj61KX4alqL9sfZ7LRGvZ3YRSiyx225J0bjksHGAcsgo/cdFci1NtNvJdjLo34ibv3PaL
aE17TtBH+80VRCrj1SDECk9r39JR5OquVhxR5OxdNXTHXNTdc/nsNFMYxOWCxPHegZvzXLlV1p4t
BNjliS79wkCcrILPPQbtn1WXTmrPybVPo8k1e+ABgSORo7mGMDhTO+sSeWohHvU8dGfHy5JV3000
olSxwKLDiutBcbhATbteVzXrSZQXlUtVk02HZ0Ov6BP7t9ZzXrNExAa//Kk0M0KAvHTH6cbBkbt5
WsepkfcmNsPiXGg9jdfK4IwyRDb6ouy6M5z2u2vaPkmWqVMovxpOEklWd4jUEazrZt8KL3+oOUZM
EQTtzd47UhduTDa0LmLlDoax63v0HGSCFPL0se0dcVM2+WZdyYwz7A/CtjI8bn0QZDE9CGq6xpa8
uZ/BUaoYyZfHAU//b/bOrMlt5OzSf2jgwJ7ALQCSqCrVIqnULekG0a0F+77j138P1DNjEWQQUT23
4wg7HFZbyUxkvus55zV7PXXgChff2iY0X0wTxPApgf5ZE5Ooyk/KMYC/8Ihdc9KthAFlCZ1g2Vt6
KDQHDe/bYQm0InOqTjNo99aQKh6RToTRg4Z4LflQAJcI/AZhjBPO48DgIBHIsHlJSF9mtWyWd1kf
yYDGByk3oy8iCqvXGfx94g+hRM4181QNcJOG3N6LEMUuZ5aqEFC2OpudSxA/DA4sLN7gpAZV7Ykk
HEtn7Vl+hVsCaLqRCDcc5OS1P8YoWb6Ymap+HoesZgQdYxZ1ykUzD0wKEwmmaxiFsVt16ZK9zOAK
eQEapJ/BWPSSWkRkLo6eJqHtcuiobgWSqS4wlEbgbyHJleZMXW19K22N9xvWefioxj2UmzYolPnQ
16jO+1BejZegkcTXYImCD2YSBMGDHknp5IEsT05LJI10J3pG3HipllqWQ4rTFqeGlP7e1qEJ3UPj
jF5ihjGljjEUy30U2pXkRSaiM7BLJrLoirPWnTxrqfJN/dK8xkNaEprVSHISXrftV0DaxkedKYUf
gzxd+OHMXGtd1W6BaFvJOPxV6dX0t5bmRuNFlC4B6OVxe6fUDHp0F4VHdFCCsv5UCUn+ogV8u0Or
GsyrrYYJjzwIib8ongd0aRs4xMM7q8naEax0nTSOas3KiyYKxBelBCEzp53r6uNYlxbkryh/ngqK
uk7Tyelnm9krE/d7KmqvYXJM68hRIF4qLSkmh3mf4Qd4QyLxygiwbpGZbeYUME4eIRaSBIBeo9KH
GLT5FGdBZ5yGdQzPsU16hn60AEYNl6EdzctoDDj3qZZpSi2T9DMOISc4VqSF0qG0ZlX1GKqcRQ5k
IyBOiUVp+y6AtWQcjAjIMVBo6gZkSSEFm7ZSqsklvbLHe57PMvORFCxLW+gidqlB6e+MvhWhl8oZ
/DW5mavGQfRZqIwptiPSizr8hfosAMKZph3RmY/Gr0quKZFbF2Xo60tpRm7bqPrHMjDF134A/+FN
ic7Htcyx/ilCCaOXFEvRebkaUItYYfk/kkFvv9lN3VSHvI/in6iFQH/QlDH/1FX29KWO5PzZrrOp
Okqj0T1PYEqj1T+1P4pGk74M/VgDWCuTOaOGbRrvS8tSPhnwQcknlVz0TqP2S4WnlnrMgzlCJtGz
MZofzGAuP3cUYmUvVjL5Pk4DyIZDFpCOq0FgfatHfaDIGsfLg1nXwCzsuLLvUayGzVETFuROVyyz
jowek269RevtzxTwKOhadpt9NVs9XlPaQpmITxrLdvUUaqSbhU35rZ3TYnYJxqBKWlNQz05sUAFz
BCwAhW85D5UDQan4m+EE9h1D04bENS3MtatlIOAOy1wU7+dYzhted0nsjAJYF3ugvwmqCXf6yB0V
7Oq9XQ75R1VQ1ugTE4dfy5F4TUJ9fO17NZ+dBhT8gWmpsuJNi0byqHW5LVFfzobvyEXR9K/FSDRY
hn9FUASJ/lsp+ajkgXrIgKzfmw3w4Foroh5igaRB/yptkNgZHLQ/BSEd5JUxSZ5zy7K/dBQmflbB
2PqqCsz9QMG561wVMqG7ppxMeTiGptmbrmZX4zNzrPXXJRqyZ8pvwbsOBrrh1Axt+arqlJLgX9X5
/RJO4rsho8bI0EpdKx/0pMLILGWyQCzp5Ad4NcqjNMpV50pStnyXIotHROW2/RwuU/+l7OHzOOtw
vb/sdJpBbDaCJkmsG8k7svwMfA2F59AxtGykaW0v7V8KrU4erdCmnzbVDP42JqR8Al+tAZWQCSZc
eZHtv/Vu4OHx7poKCh8ICw8Ad/lVl+JscZUx0AYU8qNIwQCO4qPWk9vi1ar+MZeipeCOEkw48iDM
jODaYgBv35U1YN22ILYemvw7nCnxh0wzlP7wMOevsdwWn1RIpwrs3ClvPTFPAtJKnKiDOwVtHnmF
3jEhL0nj4IlZyi38hyoGkRplhf3VBvotKBoFlDk0ANEfNBFVf4fETxX0lmStXkhJ8WPRmukTclbN
Z2OcCl6mHv2gfImJC+i7Qem19eZdIi/Ft5yGXuEYZR5M0FYU7S5RhqQ+2HURf0qitmcwaqmKD3qY
kB7HS9CVXD5ATV4oW5lyNIQEO7AxRyGcwhq16lDVikHwi4wF1KBK17/PodotroAV+n2hCsJbHcWi
ummVhHhzZjrDJW0ijaeEuuI3oZuTyu8bykeBmhVINKr7kreC63sHQkKMcn4QA9iQUg7nkMA3IcJJ
8eWSmai8OVMdXsZaISqCogLlsGty+70gQ/+0yFWtOzyigMlyTVc4aJJmPd0uKGUOADX5edYK44uu
rkEZ7qw3wRkoo+GMAApbdXJQR5r+KCfJYqIwWRsEH6YqhU7dr29W0ynxHRSlD5bDCF8bPmw/xrJT
Ul5gz7Bqci/jEDsnLvpkdu20VTXIbcjeeJM5txDmhiqKD3EuB70P60dtXUsnHXnE+pt70+Q2qGnD
WJF9KBtRAYetp1yodIY0vQzww9mhEtZhSk9JYtwt9TPDZe9b/ZOpJCcVPXsavYdSt7zQtl3JaA+9
8kCd7klRC6/Wn5ghTkhgeUbYI0x1N1DybPTpLrcY05LuNLq3fWdhKED2LKCCCnhB3VqxLb+12aXU
bLJ+zhVvhjZ01Oo6ekituNvDP286tgI0qSKAdYK1IqtVVgDPb6sk2EZ6/Wl2UGupekyEEnwIUT48
3W4NX+zFBHgICEhWNWDS2lb51s7GdujmMj/YFFkcxFJ6t7ZoT7x9FZWpVnhSdiW2nXpaDgMJY5Ef
poDGFiEQcAlIdrK8B7bYtrmBTdF2kg1yKAOA2lZFohttOwzUJj8UQykcRa0Ld9HzkVFdsv7WW8BS
NjdBUxRqSjYY3rPvM2QZdTCJk4uYA/9Jog/6lBXh28R9eBumJvOFdEVTbQFOa4NTqa1uUOy+yw5L
yUQ9wCTiSReSdLz9fbY4B0HZ1OTQKMobUIm3sJukFbqqLEZyMLpseZXHZnikRiXuLNKMg5Ua45vk
W9ZdsR71FoYQsjdtOwcDchMBXW4mh0prKB3NCQkMgLgd0NLVXYG35P8JJAa49fkX6un6gwDSk0PR
yUDKVKnydYPkRadW51fgYXdu+QrW+B3/wsVTFDYFrJuLoW9Hcs3VkhkIbllevnq3Sdef5NEkjSN9
pPQiPRdRtif2t73vLGmv90K2cEa6Lm+2iFx4FjHo0/DKMg78UsrpcnQtbAm5KHZ2d7kU9xDcrUyw
wrgxc4O2kdplNs2pNzxJtQtXryvAHyEVz2nI9j7c1ihZsmqrq21VVU3VuSPnHw4XZs4d2/WkIKIk
GzWW6TW1Qqp8+9pfW0cHfc915EKK7fxyJmLCzA9i3UtHTfMNQXBZTkLdMeSX10LTwffYgMCAK4G9
Pt9NNbegI8AZebSftA84d0EIL6n5MY2i9GufFfTMtH5625gy2AiAwHRMFPwEBX7AdnZ1kqFzOM5U
KguzrI5U6pS7Glrj8a1HCIQONDnUfHyibW4QUnFCwCGWVPciqxnuGTW4cmObt9qLX4C21QRqNjYd
k3t+hMaURsxWSHSIj5ZBVUce3CyBBHp7L1t7wSqgD01VwPaAmaFu/HrckUD3XaV5ZgMFy1wC5Qgz
oECFITS8XI7rl9vrXV4/1sPaCmyFUMUW8GuMtTFS/9Y8JVP6YyPZwweBGs2P26tcXj/IJysa0AZu
Rpy1/orf4ggU4RghNbEKBQT1OSYaO/VG3b7C+ZRelpQ+ZGRZpAi3V720FityFVMhgFBj4DdnafeL
HQ5ZpGELGa1qh9ToA72LnWKo5n+W+v8Ept8ITOsIlxsEpijOuBX/5Tut//h/2Us6KR0Ab1CB/5e4
hF34j45J0mEIIK6nrNOc/jdxSVLEf/gTDUqRgZNW+Uf/y1wyzP9AX4CoopC0ymiVa29hLp0/OBpO
FgrbjN00dZW0gZjv/GpqgsYnFbblQYmMFhUlqzSz911jZcEntUCk5VMUJuXfv53Myz/u+IxndA58
N2XAIAqBu8lFp0+GIztfNJ6MMAcDad0L5zl0Pvz57unj+72pbatJ/28kcLnGZmP2POiVaaTWfep8
/voaOu8CZ4c4pKwP6NYSG6FJMAp5vdgs0R7ef358fUm8l8X9Ijt7W9mwPS73snFftU6HzZhZ6AGo
nfcaeWwGqZIdV7yhf10ss50VFaiRIiclnyUNRq8qT4JQpliiowlURYAhCLTcs2nJio8K+kgyDSQJ
XjuiUS51bjLe+zS3nb7qvdvXZedLrrTA362nPv+fY16Oz8+2e3pqHPv/cYmNC63Bog1Bxs5z52vk
vnbOk+rsHe+5OV4R2SrRB7YY7gzEoK0TqMJgmXJbdCfU58aDlDKu3Iw1zalDSex4tXN/889ShPak
k0LBimzHQ1VSoNLIrbsTwmHla2hY98UyJf4oIS482mPndGm9F+tsDImuIpUnC7iZ6kpToHtz/pVS
MJlM6zJyv26V9rgQdju48oaysVrc50gPnG7fCm17nuuCSLysxgQWgf6rpPGbUw0o+KuNijhETQ2a
EqDOxJuiMQESpsLrq7H20rQOTl0S2Yeoq8WDYTSV39IfdVM7rI/gPsa/qkqm1EdlqHeDqrC8LI6n
2OljKn/SFCQfJCQMnNbI7UfBVD8HoHDpI8EPg3MaukPcDuIOraUcXElaH3S4B0AL6/poqK3lAr+N
DmaqKfy3nMrKkBvH22dwHr1gsteEQ5Bnk/1Sx7U3Nq7sqGfnvU0BpIrko52t8hOIl711FXJFmH6m
QR6s6WBczr/sLBlakMpLzdyfHAqMEQwESv2eTOzF51wpusRGpkoORb6xeeVLg9Q+xDz92NGf/6Oy
CmjnBGcfe0pAO9nAlaUocQH1xyvjZrd0EDUFShGlgX6c6R97KStDBez6g7Xo/YfbX+jaUtQlQK8Q
+sFe2LyKMp+tMtZk/bgooXEQ9biAoEPLDG2Ltw1O4jLYUA5xqxChTQVKw+YAE7VYqiCOzCNyhMZh
QWXQ6zLQiLc3tDUtdJsI0Hl7XAXCk61qcND2cUuJp/dFoKg/i0pZIrfJ9PhnFtiYtaUV1Ue7HcDM
3F53vWS/+VrQdGuFTKZuAZ5X17bph6xGMsOnhuAUhmGp03vPms9gu8b0WMhx/GcH0OVLTKxFFZbi
7J5/2Bo3rBuhGAk3lEfAEtuJCnmuRhU9r8ynb1eH7oIAFXS5thQIrjWp/AHwdai88aSpyVBA05iM
YUJZohB5/uysHIpAV0jmaWDqtY/VDT9XqGTTrhMaApVLeQhjRN5uH/PWouiQU3Aa/AvDotoX+VAe
LDmpROkzUxAogmyUj3XJoO3bq2xfxa9VqM+YGrVbmU2ebw3kTzjzAEu/7tr8gcYUFZoM9GHaTtJO
UHNlQ6qMj+AwwXer2+AhHAx06S02ZIKN9EaBCIRYluHw5g2pCt6WaJxShnwh6FzWE7MMi8ofC7Uk
SGoXmlChrUeqRxPS1HfGhlyeHz7dwO0plDVA6q+b/s31ARcKplRF/mOU9QztMy16sLQ8dlFHy940
HhP3woMjTocJQOpKiry5hQCnadsa5uzLQdA8GUHWnGRavDuh9OVX4lnDlyOh0Q2KrZv4S4LKE4q8
nX0lZxJCN8aNL9XF37c/0pVFDORDBcojsIopbZ2fWttx2WwpGX06uMshGUvqCkkc9T9vL3NhKzgt
edWoWMMTcrvNiZXWNNW6kgE15E4+g0sO3qlyUz9WM0Wmdp7mb7fX24TH6xcyaNsQAeCnLbLG820p
RlYBGSkn3wSL9x6AjHRQtLQB7JnXXm2PqddVwPasJDDvOi0udz7dlbsIW5rSHX6B/HFbt06xlwLy
yei3RiwdoORIMZ0xoBZZDWrs9lavfEHBlV+rhTbzQi4q8bOcZ3BDRj+EvQmEL7NV1wYuuCffdG1P
K3tfph/G7d92ZAIK00mi2bPPzLHiL05UtL5VtED/ShYr727v6lcb6cy3cR1tPhwFVwo2lK7Pv2Ab
94zz0zIJpNKoWccIOUXrRZbC8o8ilKQn1Crz9kuS29brGFjWB6aTadYBjMUIIranJrdjnTfUe948
HQjK8qpMVRHq/bZsGU5moiejLPsh5zAAq58G+yQJ5L+O6hLpjVd3aCEfEARNaw/zLivUUc2hAuun
VuKUBlNXMHtIMOMvR3M48yJ02v5Qwnh+UadCS7zb53fxANaGCQ6aJgNe+uL4JqB/sLaW2adBJ74X
gSSPbqTCLIwa1XgY1TA5otjZPvZiFAdVnvemoG9DovW4GBa56j3w9cxtYie6vjJg5c3+rIEWVAsb
7sc4xCcN3tpnsMDxu4K971yaiyvKolRuNNocMvCg7fyPpV86UDXS7K9ifl9Te8jgP6VtiZogze69
FtjV1ZRVKYBNQmJd//w3h1ON6dQMcAV8hq8OdyKhcQ/nraaBGKnyzvW7dpyrtAWRFk+P+vn5Wjz7
YOw7Hl/WIcu5cjMx03Pc+3YZjwckL0GiCRHqO+HWRnPgn1uPZVHw36qN8d4kU5GiRQASptlfSjCG
9RJl/UnttOBFi60RfD20u2wejlUl0j/lcKye9clEmUCDRh41oGeYFPmokLYwgCgLu70OxoVX4XsT
BqJnZMgUzranIsVCykY5kf1Z7ww3Ktr5FaFfaYTM2DUPmpztZS7XPgMoQGEgTMGnEJvjCJiDazGk
XfaNzMwgYBT2Yw1u+1Ol1+Ghb9C/ZmS5tNOUvLoohpDiJrVr4o3Nt4d9KxmRuvh1NmaI/CY6zLxB
rT+qcRN9iDR5RY5WJYTc2ybkyv2meEHrfY3xKdJuul3onpJUdbHsx6MNdQthsVY6ZMFgfUfYtfnz
9mJXNqkRk+owz23ixa1EgDTZATghMftRKkvcog6JOCM2+ycAJcWB39HDBuvbtwZyqx8jYlSJGBUb
rv750ZoDE720xlx8mbpo5TSILdWuPCYiPNze3oWT/rUQ1ng9SGQBNt/QiiINNflp8QGo9R4JVeqj
Vvg2NYxfrxUbgSVac1Ei4E0wByJbTEpXKkBjmnLwDLgYsqcICOQ7V2Nb5V29IX1JymkwGIGAbF9e
YTImJ0glxa8bWZ4OSzP3tVfZOjgDLVyPT6EO/Np2IcCYcUFC2akatQ1dRjGIyO3GTBYIlRhp7MdW
DEfp7adNhM6gEW6vwpM5/6yBHRQVUzUUn2ZjZXtlAnr8aOrRsldeuPZEfl9o81nJVSEXayxkgDFf
FfVrCSLrVGcflKbW9iYpX6T7mDgdd23izldQ0uZB1nXXl2NaYH0kSbhMHZD+RAlUvWunKf+YG614
jhu18ZAURNX69oleCSeQWAGGq9Kwk+2tH0DNIp0zgS2YUaF6NawFtnxT29MH/AJ8DJSI5XehFMz3
dPsYRTFkSJff/gVXXhDpHXsHNUGesk1UhFr2tW22sg/NPCthjrTteB/3bWW/Sajq1yPiZpN/rliJ
VWDv/PIUMyq1RdoJXw4N3cuyavLauct3agpXXBcZChESvhWVkK3qWav1Y2eDOvIDQzKp3efjZHvD
GOffMEQRdNYl0D/fPsErlxUBOxgEvAydBtpmY2paogYcZQI4xii8JhTtQZuRRicF3Jvoe2V3Nl7y
l0gVOfnWTxIZWUrWKTpl6K77msMge9HsQBo8G0kPeNmlgLR5e3fbftBqkmxKv6u+i01Zdlv3NcoG
vpsS6j5zIGpxbOdFnWE55ulLo0T1w8JQhw8hlKefeqeNaOgusfK+HDKz3Im8EUrghpynLtS013Ij
cQIt9G2ySxHeyOUlMf2h6+3ETSeikWOndPV7SQ5180mRG604WUC7k1Pc22gop5NqfOtC2vJHNe3g
ws5DMRgHM7bSP2BNIL4JG5QcCwTs3Dgo9EfWYUi07o8CiZnejWM0q7xw0JPMlYsl+FiqSvYnUv/5
E+LRbf1ZW9JGY6aLMj3nphgrF9K3YXoDhS3zBCkkAJOOCLyGcoWkjw9RWncWALVGH13UAETiGlau
fG+aoWNihVSX78CWSa2bjWr6Ry1F4IztvBPiEGdt+cHoBx0+MeTdxanaVgyHUu30bwOTGWaU2QOm
0taFwpGMs2R/7u1cTK6hTymMDGOQrOPEyxhdaUimZpVGCZ7pDw3lh0RjOp4ntMFeHBS20dHTkho8
k04SqDh5ba3I1kKfvipdJHXPSdw3j8NoQBAxI6P5ioK64BdT6/qrRXTEukMOZGRQg23Mf3RD1b8C
tAdprwE3fNXQT/0xwwD4BjlHr08tJMn3pp1VQHKnBFVlkKf2zKRzMjvC8MnQ3mcg40NvmNXgfYNU
xOzMS2e/dNAVFIiVYfANHY5JOEMSVE+dHAzCZ0/Dp7LvjeAZTRa8h2Emcg2xu8mf+kKpWjennrVy
HUapOaDyn38dZVoSJw01F8YUIH1+COqx/65DUgr9nr8jdXKlheNgBLLxDdXrkf3UVVE8ME5TLpA6
meoIXHtKS8TUe2YnBD0/6NjmIVynGC559l5eGGrj5EWtqNSTJwQkrEyTgzvmQMwIXajyqMLZH9LW
DfNI9dOmKuXTpDIn1S3VvNW8sB5Bkq8g8m+lERq2A099FG4qmiG/t5Cr+Aue/PSNEHK5m0VqMaxB
UZsScHHdaMcGDsHfoSWXf+vg9xUI0H0mu5CapOJQzhYiY6FsAltus+Z9RRhBFNHL/AzuGTLhcjci
aQxAFXkIGfyyN2ZIMxxCnOTP/zWk0zi1YO9wn+36V89UP6FNxdWeiNwVP/0L1bJiMKlg6Ouf/5YY
Jlpl11LQ6r4+ak3kNHJWp4d0mqLPTYjArxMaTeE3TCMiph26YC/1v2Z+DBwkAGBgoASD58vnmhQU
YN1Vv8NMPjV0LLwcLeYdM3clYCfrXfdHekgbZ7PJae47rdRy1VfR2oD9RHyA57dkmLyOjAdFX5yR
Cn9HYm7Ln7dN/TXvgnumL6bRyMWLnm9Q78twDRVUf84S5k0UsTGfWk1ePhiVJU4rifz2epdbNYGD
/EKskW2Cdz1fL6iCQlJgLCMBkHcw5wdJjl14v1X/IKWLYTpSayzTMVqkXZjt5VUSQGypOFFDpF+2
9dk0nZS4ZrgBk8gZNXIoO6H9HcapnLi1vApO56Uo+kOPlBfjEyKmNOzknlfKcBRuadWtSQu52TZx
6ebI1Gczye/MGJUPf4CMwPC+uGDygAZGsTh0pHSow0gMqfbpA1TM7NUbjcHjrdx90oF77qHcL8MY
WnnUtEALEAJzDc6/RirF8CAzNM3rBt1/SAiN/TC3inE/NLH11+0vf3nTWIu3jHYdyr+kOudrVaEB
JUxeqbAWNJ9IQ4LFUtT+MdJH+2hYQ7TTmLm8aeQsQAY4cirXAArP1xuGWGfG2mL5VpykJxBBlmMa
S/6oJbNyYoiG4sxQJnde8pUDXQuEAvg76lsXqTcMQLAZhmb7WO7sCUfOKIbZXA5hL8s7+7s0TQLm
AOEnbRN0ZreNE+iHpuiM1vZLo1KPEjzM+y6Z97rmV76aoDmDNh6Pda2Anp+iEiwkC1UPKEdOJFxI
IH1so3E4xKM88kqVaKeK8AuPex7wEcnTT6M3yFOhGn++YALhbJzI2qgNq5D4tcjC/FHP0Jg/Mtba
+5LpiOYdY9Baxv4pUFJPCTJvz+3YiBekIErNscaJ1iIDRKTXANmr0FNaLc8eEfSBK8YUrwVBkcro
3icM6wieRDHrkNBm+9M6HmYPQHHlPgAEINujdYco8LabHc8qoaXRBT7jISYFHEhQR4cVACucOQTy
+vbrB7UGiAOsZnSgt5mQhJRMBRcm8Ku6R+DEKopcOlA1bl71LEeK6PaLvnIDARxhiFDXBMy9bSvU
swI5mPFwfpe3hJfhYH7pzbzZwRpdXwX0AVAj+jLbngyj7BSQUzPId4ZjEoykjMf5JDMbyNpZ6Ip/
sGD80F3FT6wG8fzmpUIfalOvAh+lPAjvhMsq0R9c46btc8NpYC8e0JmO3sXzku8VBa5dlLUcQPrK
tQfxf754Rr2YgQhq4MtSF7+S+Xfq5zTR4O5JzC57vf3hri1GaZAkjxwWwNim+BEyBW60p0HypaaT
nKFO7ATaYS3fDQp6yLfXumJAuPjUd+nzEmVcwG6mpUh1ZZb8EDE6Lxu6Dj0gdTx2DUPFeB47VvGK
1adZAe6TShoN361VNOSum+xckXxa49GzKteNZy5m9q5NswIh7kG6a5Tc3Lk568fZ2CwW5dXCEdK4
P5uP1w1IquG7JV+tUAdxwhzmt5vWSguL1mwncHj5aNqOFhfjXxIjVk5q2876Tnhxbef0+egU8W+Q
WxtLjWKLmRtmL/kULnPFj8oAYNgQGuN41LJhRgvBRjTOtYK5+Xj7E197oXD79H+qSWBnzu8uTzEa
+jaX/KxezIc8WSQ3JJ3d2d+1VVYODP0vwlVKpueroM63GI1V8mXTORIO0i+S5hW93Yqdha7dWDhs
BGi0vmlQbLZjQlZlKlXEdgTVpMTukNqMmbQXUnNtoNvvWNFrj5FnYaxREb3n7XKdHSdZpVk2iJhW
96Art7SfOtOZk+FfPA566GvvFVgaV2VzRZgVPctqnwV+jy6D7fZW0r+XI6SvvDTvcxCpesX2ktq2
324EsKdogRP7Ivp8YQRKrn63sMc+6DqfsmzmLMpifsoG6jMUW4vD7Rt55Uw5S/wtA21V2EWbu2Jk
FNXXZNLPFEQm1UBJvBmJSYqPyDLcXurKtaTJghmVQdhT5Ny8fVr5haZkte1XiRE/QW6P7ntzSE63
V7m2IUIwCnNAF7n7mw0h9qiMJZG8H6bZ9GC1SYfUtBL+sENjjwOmqJfW7NdAEwSzbdD7W4erZhUD
bbLE9hMEVxmcNQiGs6rJmnybIfNrUE/NuoBRsGEPSq+FCl2ZtvVnoy3hKcgkawf/ccUtMxWX1hKw
ODzzNm3LKGzkzbT6/7ZKaRQiUMnUaIhIIXU0N5bC7BA35qqcMjAL9e3HjrYZj3J9Lxet4hj4mGB+
cuDTa2mSd6M5AYeyCh1UrilNiC3+i+XIUTE7GPCLZBxFoYrx7gbRosQgi8ic4BlyJcaXkYnZe7TC
K2YOlXeiev5T56GsV+63ysoYLDYqB3zmRQClVqZJQh8UijiD0manzWR7Z3NXispEpnQGKehC+aPC
eL6gKQ1jVhid7bfZwhDqvFO13O3VSF8OM/Ia0tEska58oMzfpqc8bIcSwV0GmlMPneZs50H9SrY3
PpufQi2C0TwkilsTkaCJoSfM0vTbZMx116YIU983jA2OnpuyodzK/DArOASLNEyelKXpw5An0w9z
NvvPERPeO3j4GcR9a4oTBb+g5PlJ7npxP1NWH50eiZzgcPt6XPtia3TxqzS/dibPD7AI4nCSkeLx
7aRpfqAtGH+R07T8Al6OMblFMhjqzv2/fHukYnTK16SClHZrChgYGCA7nVuAApaxPuntoHwJmCEq
e6Arsu7QVnGTeoBy9I9L29p7qgGXthW6Hi2ydWrOmudu/FWPSo+9BKlFXKU1toteUCKO6QTAb8c/
XV9IB+wIzGbFOZ+fbATyt+9CS/h1GFonCemLu77Tp50XcGnE2Q5eAsAaxRbu3PkqLSIvTC1sWSWN
sqOyDLqXN0V0BJe4R3O8uqFVZ8Fe4YgAH8+Xiuayj8ApCz8LANHY8AP8SmVYzO0LeXVDhBEUDqnq
EJWdrwLIVl7a2RQ+St6F19pKjYKXrN0JCU3yf7EUqTTFSIZ0XQBgV3pmPFUjpX5MhWsV8nyo7Ghy
l7lU/s2ufukY6Bbub3vpCwZg4oyQt12i6U8FsBBA7LE9WWk17ri2ywe9IqyEDJkF+AcB5/n5MWA1
ThdzEgC7yu4uVgrrKOfp6E42cmwpOOk3GxB6aCRHAGA14GTb2koQaSq6lLynojTl+1IOUqamLu2h
0FD5V8xxz+Rf2R+3XeNRWShDAB8931+xyrypSYf5EIn80tPqfk/eVrfvgnwwvslBmag7mdiVGwkH
AvAmgL2VELV5YiFTVNNeqiyf6bbIJzEtyqGDL7y5mqsd23htKT4cwQGhpnIB5xJd2YEf0yx/KRbr
PjK61qMFNCGnUww7S115zVQNechrCLSGgOfnyBRfzexwOr42UKXtmjb1pkYad+79ta/12yq//Pdv
AQEDnsDxzq3lAxIDfGmrMz2/eXhlekTnT7lp/ovbyKWnIi4w7QQ957saCd9murl8q3KVNipKxv6a
0+wgF4vGjp4gvvdmG0J5BSC4zcWgnLQxipKFiFwolZYvhiA8iNbujyaAPLpcjKG5vdT6Rc6ji1Xq
hnofvpoqsL1ZqjeSloCg4CwbWXW7isZUqnMj03xJXaRQZb9Cv9xB70BB17lRv99e/koMz/rAE6iC
AK6j33J+tl25pJGGvpg/ikSvfLQ60x92vSDQmsaWyNxcNdvyZa5RwjxZjSpqAiCt/ZibanvPvNG1
24wGYb5zKlfCCWwBCE94LqswyNYeNHPSN5MmqDsZc4XYYqk8IjEv/ur7uh0RpVFRRrK0of+p1AYt
4NuHol/5JnS5ILpQYoNJuLlv+QqNrm0CXrORmHuSmbELjVi6u73KNbPA5WKiDDwe8CEbm46wnj7F
Em0HpMjmp6ZnnnMyzJZnTdW32ytdCahXcjae6hdjiXxh85F5UgsFHssH8jA8jwVgDVehz2G6E/qC
X/SiTRgsa4fjnSyTbNvKuIpUvVEqaQX58DNwlSuWm4TiIkrTYlSlytn20QRMn/q0QlRxLt4MzV9X
wZnQrULlhYzwfLONqacIqyq2z4TsGJV+qiOgsGcLddrbx7qe2ubprsB0KBZ0GdZy0/lCUR6uuIow
8CEZlIGXtZKGoGPWpH9kCNjF9yNC2I+aguTjzv28Yn9Vsnt2B4/zsvMxN3TeizLjfmap8q7jtO8n
hBof9bDp3GK2zNPtjV69PyveEGgfp0rf+XynomRGspIqVEl0bfiSWkH1aLbM4ww0egfRGEwHIyZG
he5qn9o0yY+j0u11IK9tmvYB9wd5AJ3BY+e/YdI7ZPtiulh9Y6RfpqRs7ZMp8lVfvWCs3YH/YUl3
HM+VJ0oIjlwCDXf86tbxUPYYtdzG0Vmd6N1miWJHY9TyMWnm8l8sxVqUblYzTJR8vj3NmPuiNyJ8
HECGT1ls6z9ajLPhoMrLoJjbH/SKeQWr+t/FVgP4mwOXZbT3jJksxkSoVkfasEm/9EvW3k3Ax9AH
XkLlBbCHJRzkGLPJv736FfOqkm5wLUF102LfWCOV3qNuz5LlMx+sfIr1dHwHU0DdCZmvfTtyqNXQ
rGpm228np8QTVT9jXmejOehaHLrTbOqHCDXrneO8tiEqpbSQAYpesmaQ2lsWhE8tP0Bl6i4Nltiz
mC/+L1YBgrlm12sj9wIU0CVw7IrU9P+Hs/PqkRs51/AvIsAcbtmRo9EoxxtidyUzh2Imf/15Slcz
bJ4mRvDaBixD1az4hTfEeRFflqyojksidt3Bts6ZbAsSFuMMRvn85d6ggD3Vi13Y10rkNVw7rf04
Y2qDPidS8qqZ2Yc6nONLrU/Jsa1DFbFy1XkEPEbT0uyVo6qMGo5FonkqMGDwQzSed1Z2696lTkjf
lxwc7ZHVL0SXkKWNob16KV7AalXkSFGc1DJWT5OUeLy/Wzcvv+fDrQ4LXMoiUaPIvtbDoP0Tdqbx
i6M6FOe+akZ8xBozu6Z1XH2GKGDWD4BnBvPkhUiE77QbtnY07CIuM9kkJip6uTKViT50bQ8YgI5p
9x1Z3eQAfit6h3dnvHMbbe1ol6CUNpVke6xvI1Ye6WV3dqB1KsYBVMlyjGIwj/endmurUej3KFRR
gL8Js4FRjwkeadx5SF0GcevqRwOwFmWOqnwvzCHemcCNjWOwAfB4JJHQbgrEkN7qrvZCm7B+6d+E
A3IMaPgrT8wAWtuWVYJfbf/iYqf1bRBaU9KhRrZqoeqZF0auwqBGl4c+LgL6cRwV66r3VrIDot6Y
TzgIAGdk74TDu96pWL4hpxGzaigNH2zNRNK3riKcs9vsAImvO95fv40N+WI8+efPnpFc7Zd0SFPn
GtnYxjWJrj85VTuRIYh0583YHIpuhkHtiLlc7/16cvIevK19LWoMyCIgr+9GoYxfKntPnXJrEnns
JTsXlDjR+cuPQhazFQC7omCsksEPk1Gcmtbt3iyjmx5S4Nc7wZU8taso0gC+AusS+QdJJ3053pAU
irEYXRQYjePkQRcO5Ze01LTqkFXG+NO1J6y5qQi5kU+bX3/TZUMa3F/HjdNOaQN0hhTj5G5ZPchd
PKm8v24U9DWWQZZ05+ANEjunfSPo4OqCjYxAiMSCrHaLpedJLoQREWR0mCjX8fAWgyjnrdPY9mOE
fq93ZIa6CM1CL/p4/wvXgkIy9ZDNEuJ1IgJKcnLVn23Vjny+UKYyDmIUdwWRALhrukGFaz727QjE
WBMV9cGpJptELaaNwwcrH+h0ouGPIZQe9ualmWxzOUu9B2wr3NTpL6PiuhnmD3WDEoMmkcrOaIo9
CsHWxFlwapg7+e91P7sHRW7UlgcwgjJujP6R4pzDPo7f58nSPXgqYCU3a9WTMxd75u1bx45HgE6T
BHbddBNDpwpzt5uUq1qo4xEdN/0SFtaEYPo07mzCrXMASEgqMRBF3eYYHDq1KJckQIg+8y4CxMdy
AOmcdz/t0NB/uoOh/ZgUEwRKEpvuY6aRAb1WzYBdggqZLvM5mj3rTpeB5UyDkVUcuNqUnDykb094
WP3XzvGyc3VuPEWgBkhlsC6XDMPVqU9xXFDNOQFY49W9jb9VBE0q6fFJwmoMcKQ/2PgNnRKg5nuO
0hsXHPUeEiiqGxICthpaH6mLGkOrXA3q1+iFD24q/GaoyPkr/uxja8a92HmZNvaRyaUqIa2SnbGu
dUyIv9demilXMNJfctGVX9S8+FLgZrGzglvzymwSAIIlQgpgdZXljtVj1lqFV0z8JnwhpBnMApfz
QYzOII22XBy6Jqcq9nLyrS+EzUgawHLSeVg9G7OqdQjzjjSfsY91j0iDl0iEI1dt+M7ULDsh8MaV
AFaQ1TOkkOiNwo6DiSBPCe3mZqr16OJ1DnRUZP/d7lqlVlOh7OXav2Mnjz6VStTOr7/KJRWXiSYv
hpK42kIZPo8cVzcEoKErXzR8rKtj5LR4KLSEGdNjD5O3umKvUjWBWMZB+Xr/Ot+4K6QCDtV7eu6c
oVXpDJmjSpubNA5w9nKGX/ApuvihYv8Nx0UfIT7U+KDg1eZk6HFhvdvUvobp418U9iXcH2aXrdKo
Wx9igHBizmrgTMrURm9yt5fmwT1UIVyNdw7QBifcRfCZ+5+AWSqOr17PqnTzbFEc5doIW4neerUR
qWfkSzDcxLjFDCqnqiEgYgKCNkJsq0X7zSuiFBsvPcqds8D6Kb048CUfrElR+jejosxPU09/Z2dr
bh0EVoarjQf3NkuxirHGJShSQFOPPTZ6dRb9VIahMQ9hho/pTna2dZmxCWk9c5myGKtjV2QhGloZ
AMUYQ5SrYokKVwI3XowgMuron4TzM5/vb76NaIkXEbC4Tu5JTWh1xRDjoHcgTdTMWSvObe1U52W0
9dP9Uf7oy67iQgIV+49LN8D0NWY2c/FzrFyLiKXp4uKXiDItedNaGma+jb5kONEYeuQ9zJ2HA1uP
ebYS4EZhwW4BvJUGkW7k6TdhmnGKf6yBCG9YDv1TPCYIJ3fGUFuHeUkxeMA9up8f9NSpm48J2br9
WyEK6/yxqPELWaBA7Om0bNAbYHhyaEDp0g2+Ob4jjlIZANckULzc8ALNXpyJMgJQF1/MePq97VO1
bg56iKLKoV9aZriwzFY/Y1acP9VeBvXt/mxvrSm1Is4y0qikaavTZWtKq46GnQSaE9YBLmP1Ic6B
890fZeNoENeATwazTi9rXbgQQneHxnaToHCs9AHbEfE+63A1dZJS+3F/qM0PAt7APzYXxvo5WnCF
Thqc+AI9iqbLBPDioEE/3Jm2jddW/t0cc+gyRIirexg3dSygyWODrgfXrTiNwOG2AUxQ1fDFalPv
3kZaXF/+5tuYRHS0yD/XuWC+DEYpOg6gjvcwRoSzqWCWJNx8Zw43HlmwnZJbgOoElAb5589yhnB0
28qO8jTIopiUiG+kSJk4ulFjp12G08UL3aR+ouo/fEF1JX09IJp8hw+UQs3ITq0vmkgs9WRm6LWY
c0Na5unmQRSifiobNbyWeK1e78/rxl3Kp6I1BEmE4sj6VUfzAYN504uDAl388wIsGFsmBLCTOZ6/
qVO6J5ywMZ7UdKeUiQ462mGr3QOqy4GEgGlZkbX1Cd9jDE3wWb+g3DRdVVH+xcuErjB0Xhd86W1b
z8ETOKd1EQXz0IAH6fL6jKeffoY+ukdO2TjpDMULiI2G1K5bPUtc3ekY454ctHbiAZSz9TdCrbWg
Rk8suL9qm0NRrmWrUg69ySRQU9XySic7HEbYpkva5m9CEbkPqP+PO5SbjeOO5iY1Qak7SFN29fIt
FZ7MQ5/FwYIGcPkGI1Cj8WsSQuOIqQcM4zlOU3wpim6Jv93/yg0UHl02cGU0ZYn5bjYnrq1Ct+hO
B9WC1tMFEAlEzsn1ql/SnfZNNhF4nvtFhMaRpvmMEDDYN/vs2EmcH+y07+eDYtTmt6GVHGzR985j
b/M/nGwrTZ4iTETir/d/8tbCALHHJ4FDJeFpL6+PDG4SqJbBu47Cig4RxL0rVaD8gcxnT1pwq0ZN
6opOlmzh37KHMLbFylNfPAlj1p+SRpgEwtiGDnpUYWEYx6exaKcTBkXJUTSxehBdsieOvHFdon5C
15zQjxdhfV21Lc7tqdrIvms9/K+qpuEBjQzzGCJmepjNZPzoWsXvMBXDzt7YeOvI9qhPgBkl5Vu3
lZfYqtDKpeGbDWGHGbJhv3emcU91ZAspQcSCJ5eJ3PktZWqa696YMA0Ag2VmJSR7xQyPc9L18Vkv
jOYHMJj0W1cowzerG/g/YDdakmvGVVWdlSXO7IvTLd6e5cLGJUrRDgq6hp4O8y9TpWePVK7lLW7M
7K22abK3iRMt/7O9aEESCTeyeg7r7/d39cYqA0Njollh9Jxv8IKjEyH9Qq9rbOi7ePb/HC15Fzf2
WxHZ3xrN+KcqgavcH3Pj3pHEU4d3GEzwTbbbjpACGmydr0tkVD+wH8b7DuPlE+5tlGmX+pea2ebO
Xbdxejm6JBYcXEnJW82rbRRxR+gL2cJLf1Bp6g4twlMI6izN8f7Xyb9pFegTCkowN81tWgWrZ9Bu
LBuhaJPGdoJh4EHpdGSXWjvFi0EITptf2Z014AapCfzUljY8ePjMvh4ORxzO7LKktM/Wl1XV5MqQ
CAoKWo0Zie9kqv3UOlYIMcjuRPX6QJjmM4ZJjAnXax0IW+0EpNWkWDImPfbLOOR9baw4PSTGsGer
sbWOz4eSl8ez84Hp9xBNxRBekzYtL6JXfhh1Op5nLRvP99dx6yRS0IEsh/gRHMfV61igDaGnYQ9n
ppiUoNZj9XFpuBzcucKWbWrNy/3xNr+MmJu9KWGu63CtNgyKabkIr4aaIYKHwLPan/S2K34b2qLv
ITS3ziC5kZR5ocd90ztLSlWobWfD9bCtNvK7KSnSJw+sSHbU57mmwJLqWuwjPpHstaS3PpQwHHAy
l7xsR75cQs+YbAw3FY6/mw4n6SPxVFaFejAqU5xeP6dU8GgrO4C8bjBZypTYsxvDexIVZs09fdZD
a0bqVevdvQrw1leBD6ZCAi4UtNLq2HfxoNYA1J1rVo35+0LVsG6uZ+cwLLg471ygW1cMgRNtQdlu
vYm0R8crswXrzmtt9s57gWJC0Iem+gFoPqIBWje2b0mz2gBi6fhjpDWzl19vvRpgKS0pfCyDuFUs
FJmZsoyFRWIYh6Ea6CIs+/NC2eS3mkfh/wSa1phFj7nxjWgh38PzbU2190e3gsI+v2C9gejh0Xbw
nKtTzFhjF/Z0rt0WVwAw5N9ev4EoPwLjgeMIAlf+lGfXjYMnZ2LR8L1W/RCem9RYjmJIsgcVJ+Gd
vbp139A6t0kv+M+b0pehz+RWCkO1nrs81raBUgwgt0Ms0skfsmZvw25sIiZPgmnAgd02RyIrLftk
cd2rRP+2YL+s5YsAxdhQiaqiH7OV8XphD24hM+NWD7PeJr/vT+5GoAcogSeZW1Yyn1ZHZo66ZjEq
gEN6bTmHpu3y44B+/s68yiVavcf0CulTgrCA7rRutxkuMoh6DFy7n1znPOJQCotAny5pk+35Iv0J
TW/GoppIv4kr9TaaKty+snrPuw69mg1Xa0wyo/Q7ehv/Iho2et+0Og/xguj7vPkdKZ31uExm8qTV
oVF/XUzEeE7mUDvj04he0XQeOzHnX5VxcJog62YH4+Whioq3hRYXn6qavosPIWh5soe2Vw7z2GTL
41Br6icawF1zUpAO7y/LHM6/vLRGZyMJW9046+Msjj2Y0PIwzl2cBFWOhYAsO2tIOUExjh/mMfQb
L/e+a844Tx8Q5vNw3jYSU7uWSZt/0pYWz4oW0vhw1Fuv+l9r9jkg57qtMZQtSh2NOzvp/lEqoYeo
pPVsJVe08Uc7c+fJr21c0YO8G8RAnwHXWTB/Hm4Zap92AJAw48K6u6itBd9013xKvTnNvqGRZ6g7
e2PjzMHtI9nmFLAB18d7boYl7eWZo6qlHMYxrQPFSBHCKq0lGPTSfn2gxHgS6ISo0a1KSEIIGloj
9FS8wZwPFf4eD10N8GpQvZ2ztbXruQOhUIHTpQsq//zZxdUNKLygNBsFsWVm1dnpyyg6aFnktmc9
Scs9BOJGOMHLJ+0boG3RbF0fZQHYgdxZufYAg848j9Fna55aP0W++ZiauP1ROR53nsHNb+RvlWKy
YJvWJ1vYDY4wKuz7chjbgMULn9DQst9BdO5O96+qrcsS/jkCuWhC0ahbPXitM5nz2Db0JQCsDHSE
9IiihdUkNqo9TeoejRw3vkOSq+YDdCvE2NLYMcT1/q/Y+mBwR7LlCuX45t2Hml5AlKBaWMdj9AW0
LFaNS+N+LRQ8fO8P9ecRXV9l7FJq5yBmwSavvrhIGsfoUNe+NgSC86feK6uf9EOd2q/zxIzPeb6M
87nXwzJ/syRK+hhhSC38tM/s7xl6/E9FXntdYOSWUh4RTbPp3logmqAgKWb6IYlsjCbx63ISX4n7
5ovIy8w9jC2+sb7VZUpxKOmN/AN2I/1KqFoqZ8jY2gM+R5jcjwicvGmiEAv5+5+9McNSbN6TVhXA
Mtf7eKImp+BdqaB6U3zJMsO71LONBLM6GTtrufH4SQ0OxkFqmydYnqgXBzTVPQQbODEZBrB4oXP3
VnWys4xblSRKzbQaacxwG6xTs6quTa8pTJYxMadHURnIYlhSy9vTmOK0NM1/a7j4p8nOvo8DttBR
r/2+P6cblyw/gSoSoN0NtRitp5BZegrHFDWAq2Jm+ehXSb2cAAppZy0rox3QwOYiUkKSj70p0dcv
p7Zd7GzMW5RHMuDtfhkO+cH0lOTSK7y9979tcxWJgbn2/tTJVqdELJORWr2hXC0Mf66oe83X0Wus
HaDj1igk1hLQJVVV10WhpBS4xIyhcm0jc8amBWC83oHhvf8tm3tFguQQUqWkfpMTVq6SuNNMAV8N
GyfwoMRey8kw3w02lW/Lm5b/0bNWbd8cPPvRKKwlPoIAsz/c/xkbTwmCKi5ieNzo1DBWT8nkjQXu
Qgll/WyKrzMs08PQN+mJ0BTlZ2/qL7QN9+T+tgaVWCXgB2DLYWO83DKCzlRhRiNd7jhCe11VwgdD
a8u3OSqemCeU4qPei+58/0s3HhVUY9igXATS1GN1BTStSOxpQtgkipP6q4Y46SnqBCDFxUiOk9IU
byaI6od44uXUyr9hYEi8CaZYJDi3VRsVjSqpzca5pMn5tuzq8qh59e/QpdIoSbevPirUNQB3gEOH
iXfT/kq1Tqt1vQ2v8eLonx1jjiXddd45+zeZqWRBSAEXCXTmH3mUnl2rsy460dHVuHp1635ohqZ+
13t6e+zz3nkSheFAwqsBJYJfenWiwdCQSqSWI+VkYvqXQ2OXFqb4OfTXaYh71V/sWPxsw2WZfae0
wj2K/O1pldLhJN+0pGjX0pZ4OVw0u+YCyRY3mIE4GlGCSslR4kyX6N3gTMI+ajWF0MNS1tkM37DO
dT/Xx5KY2rLSdAfPsjHtJMgePUtOjxTqeflj0rSz1SgtB769RFo2A7hfnCJm41sqeve7q4rePEet
4Yw0lSySifsnaWN4KsrygSE84jVdXcP9gprqSIf/SthiHKqOwpLfLXbrl1kyPLYlqM46z50HvS++
vX5kiM4ys+Qtv2lWeDgmUWRpRh6AsEGjpM7fqKUpJt8syvGiLZH7pmlEfwRaHQb3h/7jlvIiREPv
CWwjATctIsKV1Q5AoQwPEM8ar+niDA9Z05nZcS5D/agP8XKZtFZ5rNPe+OHN/UDXKGnPqWqEvrDb
RfYwGx81vPi/Piz3VH9ublMpRMWDz3+AHLINGRE8O4SVATE6TvXh2o+K/RX/YQ8FrsW5wEFYPjde
bHzpzXz8cn86bsIMim8YvlNQYEQqcKs9UAOuiaxW7691XqvqCXnL/No6cfJu9CqlOUNWNPcs627e
ZVnvMxE4o2Mj+fzrXY+eu55G9XD1SvJeS0/mk0oZ/HT/wzZHATuEGAaPxQ1UrGsbswzDdrg2TW/9
i95//Y7ygvEXo5Cj8QqBF5A9kpdrJszcLZuEokUzuhZizVOFJY+31ynY+hYa9o4KShb5iDXsrZ0t
s56HcbianTIf6maOcU6LdzVe5FW7Ohn0s7GuAtClEcuvIsBaUKmw0Rq4mqPjXnq9ippjGdra+zQS
VnKsAcd7PgUQ62lJquo9Pp+Ve0T9CluFuc7dvafvZmvC3gBHgoo5AQ0dBXl9PT8PDhx+RxOLFCfI
dN8oqbogQK5WsW97la7Q+J7mX6/cNXJMyms4x0HzvGmydXUVDy0AsKtCePq+N7v2qajDcWfXbH4Z
ZFmYMLzrPEgvvwwLSstCb3UhhEG2tzKxb0z7RHykfatftCT29qj8Nzc9/XCOGn01gjSiptUpjyY0
uFn1+brkZnrygLM9OmWTfpqMuPYnLXIuulaJa9Ql0Ws7iHJkegn8izeGWvLLT7UTmkGgQNSrooj6
bBZG8sGc6SXYntLtXSzy73qxf+VYvGesngTFrpND14Cr2dXKcgXabJ6a0Jsfu8aOP42NWeyxHW8D
CQZD9Q6eEcEvEczqtp7oECI7hzXOmCvimzHq8RviUTc5F2MzeP5gokHmd63V/TdGnvnkDt70Lk2p
CO7EEDd3A20aqfbF3QCdi5bNywl2o64esD1ZrrrQy/eQNbozSDC0ol97MDRkjcjwdVirGsyVl8MM
RVdZqcOWZYOFqR8JlC8OnhZNe7n31vc8H2j1OmSaXigiN5arVijmm7QZxKnI8lejrpi1Z6P8wZ0+
u1vwFyU+TOflCtm49eNyWD7UZvpfqC/DEf35aSfSunna5XD4Z0nOj2SVyo9+NlyzIPUYIxNxRQ9r
OVUYpgSJaU6XMV2EX0oNoLGgKPwXS/Zs0NVMluWsWYs5LFfXmrQLykPFQyRGfWf/3R46jQKJhENR
EGYTrq6WDGsd0144B3hcz+9jfRanzklxZYbqsDPU7dYgYEeiAyomMjI3YuiKksZdaw7GtVSy+GjG
IHjMvt2jvt1+kBxFHmkqznCMVzeWrFiCOUSrH6dqcdDnfDyMxlR/Snqq7/dX6PYdALDCxoBBAHT0
JpVNTT0Ps0Q1rjPUad/F1fk0L6176ooiOY6gcb/dH+92G0oLTAJvyZmA0aS/3IYduzuH7I5PiZcP
F8zExM+qStHujeooOaU5Ntw+UFZ1pxCzNaOyT4AiIKtHfenlsBUUYQedCPMKkDM+gtQbDrlGs7xS
DHVnz2/NKLUYCadgWoFgvRyqJJMTKjZlV5FnIoi7PvsSCXt5XHAv+e3NlGx37kV5iF6+OWDNCJp4
DXh5buSWLcRzkzqG/TliifYP2vCOeIDsDSHBqIsKRWQ8CqxL3hR481HpD0pTr/67v6ob0yv7uURJ
hBNEuquXKNTHNq+TEgGuEDfd3nMwfsxC7eS66at10uiJcDrYtESHt43deY7pUkXQ4pfKiC+Q4uzj
wtyc7n/QxiJCjeFQAFCllr7GjUIBtYqBa5RoRTi05iykNGqrP0IcrS/4auBoen/A1cVCJ5aHDe0S
YkyQPxRAXu4aBxRASYcpD6isuI9WiFx1Z8Z7+d3GKFCgeVlAkAAwXmf7edNjYdrmOXydrHzCgrI5
LpW7R/JcnXH5LTrWeZRxdHieN805xxRZVgP9DEyt7P28z7QTohb/OoO21L45oz3jRyAhdmZwdQz+
jAoghqSO1hl93FVE23edBsuiyYPRSsrP+NK0D0OIaSu6w2nl+VUmJI24T0CNI7ljvM9c+ml/8xsk
cxGMBRyGNfRSMcx54lHNA9Sb3Y+WQcCFy5XjiyhMD3ayNG8VxRO+PafF99xs6i/3N9HWxJPr0M4j
mSbflH/+7I2vc1q/Q9VUAW1mFC7n0fgROrbwic+6g67o5VvIYdx6rx7VgFKPfAB9elR4Vlt3GZup
9WZRBQtksw9Rp+oXYU/t11ad3Ldpnf1OwGB8vz/mxkZmf0EQcWhy3VZvtKrMu6UZysCrhPFOVIrw
Y0XNr/dH2dhSwA94gHVqNSDuV3UalJoAyAmlDDRMln+6Ik2z0yjGrL4S2aB2VehRWeFqFKW2n1Ue
8iZ1GzbJh/u/Qs7fs/tdbmxwbJT2ifRpY61bW2Pnej2WzlUgiwnfQ3P4by5ny1eSXv98f6StWf0D
OiRC5CJfv5KxVi+4FRZVIMKwO3t5ZJ0XY8ou90fZ/B7uuD9PBaVlOevPdmncJnFjNksZtCmpJy3I
xq+M0CFTUV4Jd/ozdTh7UFKA6CPdsF8O1VpWlZa4oAWOM+lfRyOHEdornN23iAHLCFivBjuI0jit
jxQireL1R4PSDJUMECUO5frVnYRODEjapKuDpc+UY9sPc4AnY38aK7M4ot9NxDN1xk6ss7GKgJAc
Q6WKLnX8V/M7plWEl9dQBWOkGmcj7Cvfm8Y9O8aNVYQVQw9E9vHBz60+zUCYn1w/LINYy00/S+r6
Uhs6KnSKMpzub5g1T00uI2NREDFJquVyvlzGLKd2ryqc9lbEzXQxmlC0PkY4xft8xILuXAM8f4zs
ZpiPA3o42aMOY085NbMjRlx6vXJPLHBritHmwTQeepx+I+84FXHUL9rMxw9T+Z/Qxw4yPH6hOznb
5jC8nyCsKLzd6Jr2U5sJ4p0qyETbfIjGzAkwoFWO96d3VZn5M7v89SASZR/khmwvklxvJk+UgTV4
meGXFDPto1H0qXbuonh8MOcYpel0UNJLpSMBubO6Gx/pmaQD1MOhILFhXy6uh79bpLRLE9D6MD4r
VjU+aF6v70zl1h5Cf5mAXIpPUCZdDUOnYSQvKZogUkz1i6c04bu6UZ2L0mjtoc5M5VDjnHcYhqU7
Y97oHfRsEp8tpch2UsiNg0OPFsI0PUuNdGR1JyVT3+hdHDUBKJDyabCt8htlIoGKYjTs3LRbUwvm
hGwVJAH/yJ/y7KZN62SZtNQWQU9P6zSUkOfYQ69swUqwEsG41IGCdELkt7oJoDuHCplyFqhOiXpr
zk7ja0Zv4IzyfKpnSvHt+0gPx1f6Cv8ZmUhHYhMgAd+A5fOSUCgVEAOpV0YfjQ7eN/TUfodIfTOL
fB/gIR4QirHElasFC72mK10tS+GQOb1fQnv0y1nsnfXbDSqHoVsA+9UgQV1v0CKPEiLUMAmiQXDG
5wISgm81hVc/DVkxhl/0uFvUh3HUW+M8qEMCmL2wSuVEB2DJXB9BjlQP7l8Na7mWPzMs26KSkEuC
so7twrpsdSdu06CsZ2Pi3VIJH2czKuiNTmy4k1qEc1A31eL4sZt6/xlEv6EPP0xN34RxIhtZXZb5
aoMfpz/ZRvtDmyEnnTGTiz+3TZ2VCCJlyR5T5eaQMZmoQIBBhzBKiLFaM7MfyhgfpyxABWZ6k9pl
EkxVjjtlXng7z+3mUAQXoKmRELm5vxSPJnHhLVkAGym7Lm2s+1OVOddkyb/cX42tkaQVPckvQNUb
vm1UVEDYoi7loBW23xlNF+ThZCCskCun+0OtTb3+LDx0V9I4WYji1nx5dQwoFkcYiGUBsab+qzLp
k0FdM7wvCoyuGcvjvPgpWIOfaapm6YMN69b1tahXf0Bya/KDaHrToLedKf1bqx6sD13eWcrJyROn
Oky6W/6rhqGp+UM7GV8rFy9WX88L0KZjZMx7X7M5cX8q88iR3N79ugDJT8M9DZwRgzIwxKkv1EYc
BhorOxHf1mVBCo9YN4RvzvIqVMHhMi7BLaeBmWAAvPRz8gh0KzrfX56tUXiywblJjzJKRi9XB0Bu
5+WOkwZ26rnHNEb2qEpm+/j6UTj5vM0AXW7dC/CuXSjm90lgFbN1xG7OOMM7fKUdi9xp3OBgPyTY
VbJ2Xn5LAl8lrvCyDMZMj95PLqrclt0Xr7/EGYU4EkA5KP11k3lW7LE0+ohR1Lk5wUPKzujEGztR
xsZGow9CBUyKthOxrq6dRvEqqn8Zd0EpZufkRFmL8uLkuqVv15j37GyDm8iNqZNsEklsJYZav+9Z
ESPB2C1pADxkvvaDW0IiyWHledgEf5u0GFFwNTX+UfN0L7OSO+xFUiqHJvG2/lx7N2ppbezYsqCS
BpXXGMfGiIQC80lbjOuEf+1bLZ7GryVQt/+hXuz8Eqr16/7e3BpfSjZbJOYwvNcnwA6trCwbLwuG
sqjmM1Gf28Aezns3sL0sizAPFM2HFvhdf+LGwuzAWNys2gmw5HquZwHxWUALCArehs45EqEG7itZ
EKtDcTGmlovYBLr1sdPS8lOcpYn+IMx2r8S8sc0MSrWkH0SS7LLVNkMQfUT91sKWdLSM+RC6pbD8
hOo32FtoDK9/4EgiuWhkSYm8fR3fGQ5oDKssg0qMqu5rOGN/FK6Ifk3GbO+FdBsz+mIw/eVtkJmh
sKwmJGPvs+KN4qbREZ1+1W/TL0qqfq9Cq9o5RKtSr7x/kAeg1YISLlfq+hD1STcKrzazwEIxevCz
PB0/tyVqwzhQJ6orlZSK6e393bvmMP8ZlOa+JRv9FAfWSNeqRc5zwOk+KFyxfEDnPUJ6bJqvaN1h
Im2X43nANvk4pbaGrWY1HMA/NCfix+bfdi736C9bk87DCC4dFzUgUas6F7snmVrdJbCwUj5YHfqH
yXPrxz6K02NI3gRcPMPl+P4kbDxi8qIkrKZki8rt6hFDxykrbaXKAjzRlw9dBQBMqIr77/1RtpaX
TgwUQimQYq+jdyR6cFTvCGSW2FXOJc7UZxQJxKcG9MHHDJv0nUdz62xyRjiWnBeO+uo5szvC89ZT
mEuDevOwTNXJinosauxiT5x/eyjicuqgPDrrJoU62RPGGUUW2I1u+ZaY/q1NbTnMnrVnsLK5VNBe
AAnSYb25AtI2UZQc0H4Q92n5qDrK+BBSW9spt248Z5STZBQtWWU3wsqe2rS9M5JoYWq/DO/KsI0m
f/KSRZwSVPkbXJgjQz964SSchzKu4v/d3yprbS95KtHt4CZAEInYap01LGbrOO1CKJ+VLmKOIMfV
a6SgNRAoS5ON3w0tcfJvpaiwdXYpqo9+osyoz/ud51Rf5iS1zWNap017WKzULE8lTpr22as9bc93
bGNB+KUe5ADegFv+Ezjj0ogbzk7bktVkeVK8obixc3S2BmEf0xaml8kwq608hCbVX9DVQUL7/kJi
k/nWMtc79ZCNAypzSzYx+HVqpavHDAWhcpCyoIE1Ns5HLZyTd601Jf/MtZt/EcTqe3YBWwNKrSTq
BX86lqv3zAHRqMTFEAVKVYljl6Cl2U3R/NZVlh8Gze/T/V31J7RcBQlE6vRGQbrKDH9VeapD7DrG
aoiDrhDVB8NeYtOHyhdbR3re5SdtDIfqrRuqNlxBOp7XsV8GyvvmOD/Y86JbZ6PP3PRYypbbP2la
GAW4gDSej3ZXDIavzlkUHrq0nMxDP+kaWGLNiKOT7SVGRlXbNajDwPFR/LJINeVQNVGGgK6U4Dnn
alGdPSdVmgcRukbnN1OeGscidRq61uAvnXOjTVXy+juSgjgBBe8f+eV6Riq9NF1orGjIzOZ8Gl0M
lCDbGMewa+edobYWm64qsTjHWhaoXsYTOX80Ul6FHzB5cxCWevm566r8J9xF9ZBkiv43u4taJkIg
aEbxsK+2cwivwiwiTF1HrXeOUWU8RZpJvokT28OyKHvSh1tnlIYntX4uL+lK9fL7liJTe8A7eMiq
antMDCs61pjz7NzMGy8NOGmkqGSH+rY7raJDHgnPVq6a3qlQu4T2pi2a9iOCINmn+8dl64OeDyUX
9FnNEoIY6swuMkotdnUHU8mKi1MhRvUXo8A0oCgAZAIRpZej2PYyxYNkzER50/gZdfELXbw9D9CN
B42mIaBDpN8kk3l1geZJPOX4OERB6BgYgmSacoIOnpyh1eoPhd3El8jN1WOUc+fd/76tbe/9QeWZ
cDbQBn35fb3a6fCOOGH9NCeHliN/qYZc872Mzx2HwjrcH28jgqR0iVmk1BIhmF7teg9aGHmog2SZ
OSsfzFZzzxnlv/Mc4TCHhkoOcXbeAwRuDirNHugK8V/rGlVHszVPLTcORk0PT9m4DIe+ia0ASRrn
OFRWd/Woqe5ErRtHAXknzDDRg4Oj6sn9+2x/Oq0tQkVp0btxS+2pzuyOZNfpvyqDZ5zvT+rmUPCo
QOfyzHPEXw6FYaM9uDnvb5kk7rm3w9wvlCJ6csXw6y9GIscDQs4DbK0JTWnpFVZRo8jmWkL0By3B
QIEGW1X8KLDF3MMer4GrMs6C4EOAx9njDb7RD5iiuO6yOA7aru8fTVfJzg5294bvupH9qR1R8ztZ
xbIUBzNszZ9mZYhHsRTFXnv2//khsvnFYaG1uNq2US0cUeWokSeaMI6xJv6PszNpklJp//YnIoJ5
2AJV1YP2oLa2vSHUtkkgkzmB5NO/Vz2rv22HHefdnMXRkAKSe/wNzQnjL31c3R4r0yWx6AGHhUfh
dHGGahZRqdDj4d8P/41v9RwdyFGw52jC3D9fM6yedg029NinRiOlVkfPynMnJJ2agMFKGP1/HGCP
pR+TXYD8TPb+vJzsVt8turOV/Hm+l3ebrqAnzuLnDD76PWHKN6I5p4k9F1NkBtavlxpbt+Py0vXW
RaXWNYOZN16ZxrYv//0E3/pQzuDFszoruODXSdCoIdSBhPy79dW05AF4rQvTQOtKl7nyvv/7Ym++
Lvog9HfOYmev111itcOuc2EcCuhbQdbOHW+ucNiC1J2Trzt9wTtv7K0rQkFAcItBl/+XkVbvRxu5
BQ47TAR08mNfaWAMdVncSCs0cx5IFdnvBPS3XhyDEVb4Z1DoXxDUobdo1KQuL+uq5jNUfgJJIHzv
Km9FcMoy6gomD3/PsQu4Raz2KMXH1tIAMULMg08jhLUjKvPz9cwWAt9xTwSnf7/DNw7MedWMviaM
P8hOr6rCZGW4JFqbYxnUzpUQXXVovDVKC2AD77w85423F56BC+dVFKzm8Pzn/ydhoPq9m6ReqstF
lMo+uaqYh1y1stgzvbqj9bVYgyE8espV1UUbBtaQFe0EMsbdC6Axdm3Hn+1YsEctG6+7aLRaHqSa
6vBYB0Vgv1M4vPVk/u+vfRURR8vUcp4U2iIAR3LfLIjXrbObYqn5H73tz1kADAW7JdTacWt63fjJ
qWZ/x46a+c++fLG3vcu6ltWxZ03Dbad7P5/mWb/z5s9v9lUzdiZJUUGCrabbf9X8Ib08Dt1IzRC1
SX0/r45JQ8sRmcZJO4tDaeVoYPjfeT12vuhE3f/74L11GNgiEzyYNZ7T4J+HYelEOK91KS5Dt/Xa
vBwli9M4mJV7KjeMOVJjR/q9HuiNMpT2ABAUhS5dyes+XiFIBhATN4XEcqtrR3fTMVjXJt0t6XCI
GLE6WAACFRT/kXrzv1dMcUaVxM6FIfmr293Kvm5cMJiXVl+Et11k9yz8hJO59Ri982LferKQbtA8
PIPxWIv8+WQjE4LVU+ddSF2cS/rBc04qbNxT2DO5LO1hf+dLeeupwqWgKwJ+ACnl1QVrrWoPhGB9
Kcql/LZOTQ/gaqgPY+CY6KqadNKlhMzkSPduqXcu/r9//dU5xq2UQpueD7Dr61FVoJ2CrfbAk9Wi
1hBHLX/IJTwOceUhejIeyrpb2Hcupci9mZaXLYiw3XT04vbWEtP6UI4WsNimdKf2FsrpGGR96RRX
kafn5r4oqvk+GePxI5q8+KH2fdzvxzEOuvadL+KNRAPdFBoTERIbxdeHcxvF4CNFKi6Hvt5uMRl1
ylRjQXX894f31mUSdib0JyyM/poyQXtqUCCU4rJdLPMh1ogqtX70ngjoG9ET6VgkMziCaCm/rifD
Kdh1uIbqsg9gveQeDBR0sa0ehJzPWPjp3/fkvnEEYzS4APiwPAVB9SqNLZg89c15WVJ4U1wei6nf
lhSElvu5Uv6qs1D0bZlyTGf3ZFzT1yn6nAkM62kz8km5Qb0fuY9K5qY2+tlD823P/M0d5UXURfwD
m7JQoNdJXEynbi+3+xVqxnrr26JcP89hWDaZ3+LnkemhKK0rFG0HMtai5bVf6vYeZtM+vPMi33jE
MPkQ0QF6x5Dl9XlBCEXpSHuKarlVe1YMy3rySl/0l7rmv++UQa+p2ucIhkcq4B8YP/BRX19ul+28
4O7HI64WJ87QuZJOppU9qrQNZKkz4c7qacY8sf9gQx23T31p1WsalhEDJnClU5xay+ho5vMeuozr
rvoh//c5eOuRwIgD109NjxDGqyjb2o7atwW8fVvHvH+710drM1MaSPkftS7/9zggjQL7hEcG4vvV
pWa/EwJHF3mJUKpzRAxt/lWoos20u7cv//2uUI+G63HerrIf+jOgl+ftdo8EzKU9d/HRNF6Yz+ic
ZGHTfvn3ld76jMhPAOQYzyKp+2pYshaNbvZJyUumMU9SVfEhQX0ytRFNufeTdcmwcmny1enrd1qJ
N4LS/9x/zg6ygOBeFyPFHJS2CniaXTf3B8+Y6KMB/PXf97dnVRimMgh9oRryKkrIyZftNE4cD+za
LvbG6g9iw+/L0s57yu7n6vBVVuJSzCPJTECUXpd01WwXyrFrbiguxZVQa5uNIR1ZpY1DArJEBsW/
e/j363vj+CcgIDghwBH+xjsX89kAZYE6U5lxAgw1Fde1g2FbF1XvgEjeOChnniEGStQYf+vszJWb
jETj5nLdrGW/TFzkeq8EwbTPBm+D3bHX3bbdLEBNw89lGbvFe+HojSrnvI0hKJNg/oY9zGZUdtnZ
EHhsv/pVWMzs8ZIW9RcnlHJIpyhUXxDrYlKL9F8dfrJMD9FmpOINUx341a074+F9WlBkuAbjhbFs
v5aln8oCeu3h3+/ljcNA08NikowIM/j1UKmK/EXXDdu0npLspNwtTDu72S+6wNszqajvi2pb3iF7
v/mKAGnSTTJfYsvwZ9SI+261i2hpLnUkve9O0skH07UrfbkvTvU0Nx8Uz5f0ZgeX/77dt4ZJVBh8
xaRjOubXl2Z6ZFrMIJtLNzICG28FFTuFqbLXmUSKfcjJNFIiKNL1bbYsjeNhcxd7ULSXwfr07x/z
1jcBBeAMHac4ZFH552OYW4/eOQok6pPhEKf09+5jVfrD2brFnrd33vQbcQyWDCQZZrHn8uf8a/5P
i0uXrUTXk4CA/kXQHCaEGNGXy//7PVHvMo0409f+0iEqqVcYHGquIp3oHhCtlwrbtIeSvPjODb31
mVGMMtCGhn0eif55Q7gPNoM1hzDYgqI5TUpFVeZtIvq2Navw2Bfo9uG/3hwsXHBE4Kko5qhs/rwi
osCQ9pNaXboS8fY09nE3RHqxn4O027GC//fV3hhKUAmz/WSwHBLOXhNTWp8xoFUQR+IlRlVcdzVa
0q0Kmq+YitPJ+GqKh2yGINjfJ90qyrQoEuDjZgwscwpJxIb5cLkUh3YNa3EIB39tD0PrzkWKDcXg
/+cXgmIx0kznqgNy2+vuzp3QNWmR+byETj4eqmQLrpBTwRY5dpvbOZn3d64X8Lj/TGSwhNlOgtGB
OvSXmQd4up65S1dfFkgHZ5QdY1bH2Dq03hJdvPMuzvn39bWoPhiQMoyC5vEqP6Mchl+aM8tLgoqZ
cqEXBNnDsyx1ioqE/aWjbf9eyGnoTns0Vjoz0DW2FI5qXcKVHvomHWYlwmtQ6duV3MrkGRDTqBGC
3Wx4DOW6ljlU13DNl3olG7/z+92/fz8Lkf/pawITZZn659GNdjRwowEAVRU5413BuO3nWlDXQfV0
9zAbi8D/TeOYwIJSCRGoifz6s2oaZT6ErUQjWcCnqd4pev7+gpGp4XwDjGHw9pdWOc9T4zR3TtVO
139xKitMvTVJDotanIdeb9/+/RDeuNx5ck/Apcb6W3O+sux1lUslYc7RjwhUy290vQNoSkKGOv5e
v8ea+Tu58ulSFQMIiN/AytQ+Id5qArA/1Vx9WgWY7M22DeR9P8Ya1OgL5M7rd+qfv+M8mGYE2bEl
omBlp/7nm4YN0MFha5bLvrGHwx5P8qwzHb2TSM+f2N9HipUpTS1VDvy515uvUFWFvTQyuZzK0RPH
EBZLedOaKDgkjrFEqlbMzbNVbNF3Z1676SCCbYpyZBMWk6rYWp4xYWndMy0tfJy3oLztCynUTTBM
eKmNjlqGD7BK5ilb2810rJlHUQLpccvpVJgCsbOhnLflblpbGabVjs94tjWFxH1Y22pE8T5Kfoy2
tB79IVB3iixbMsZzi8e4LMWehpKyKgd2aL3sKJuZvN2X7sZR5fzDmE2qD8m+bb8CZ1lqqBHB0mZe
A68j41aETFHcQzMQwNj09fwJi3RjLBochzkQJtuTyDR3KJXJL3armseodrtHZ9vr8SRcOX0VMXPt
g1Pt+57KcV1xA9JF0/xGIkZ0l5rZkJXGiRRr2gd4un5ei3bGQARuZOOf1jVkdZJY2vQ/yspjRmjM
EHyy7C7+Wa3JEBwq6vD15OLM1iCj0Mzjh8ZiVfpBQZcqcx1ssrnWyjL2NaBxz/u5yKSyUsSV1v0X
Ea1BbWuQLnB1Z2+LrEqM/Kjc0CLjjWPv3Mm2GD6rwCrKBbbIltjP+zYk7YXlDqv3sfY6drNYAW+2
S2iOrFaOl3hqA0x9dmOhwwwcVrtR73rBM5uFNrymgTenxuzDlOmzV87FxsRpuZDxIp9F4epHFsZU
Kgo4w4O2keC+2CR/IQVlubZ5PRt3S1FYjDAOAnPf44Un1iEDQFS+xG3v+Rl8x3pPdavkU2fKFXK3
KleWFkMcf0LY2JEgwpT4NgRFP0AxG+X3GUVXmbnxRE1uSHYJGDeAewfMR9SQguZx9lTtEqiOHNsE
zBWM+eeiRH4tcxzAHsDxS1Pm4NQSmTPu3b4WRjg3lDHzd0BEc3sQ/dSMh0WW65iOeN3pNETuX2Zx
gtRvNgb79MI3HuQL8Ip7MyVtlVZmDj9YrY6B2kUsHlXnNE5GJ9JkddGHOlsSUd1b04jsb4Cesk6h
+evrpo5lh9lmN34th0Ze14HXnqxW9T+NF6rk5DbG6fMJ3wyZJYgQ31dzF9ap1brLlnH8mxqbRBRd
0nEPot/O4hWPO055V129VdsBVg3eYK0tPZnPNnnmgxgGF3JJ0/tXgnl1l9r9Ol3rqjYgd6OyuHd2
u3pMSKESWfWq/Nw1Rf3FDob9SVj1tGdBJRyT1W5R/sIJSVhp5S6yyhpYlmVqYUNm8qKJ2viid+bt
q+cO3l3SS0+nVVc2X7dmDx6S0tdrtg8mvNEKZGkuqnj91fmWcVO9dMwvxzjuBAwu7UH9n/oaAe9I
VXYuusXoNOn2xeL/6+RQx3oscJro6lsEWkuHO6uioc711AVD7pmpMr+g7fEpT0kViLxj/ycvrHnw
PyhWZrd7IZJcwVBHyQTTSZMCO/T3bF6g/+Ydyz2VKrT7MiWn9ZPlheOUm3l1b/3Sk/wnaMdc9Xus
sm1fA5GpRLePVTPKF2xzPWjDbe/wdk0ZzZzCtr0bDK72WWAq/U2UciqzYSvVnuJ/wgeyjNuMMnTQ
Dj+bANOrtCCYqXzCobY4ziIMv4Z2vb5MYSy/eq1utsMcLnOQJVMo7oLeCssTeHKIQKYddJkLOQYa
iBaDwJyCP3GocspiStfSck/+1Kjy6HUskdKlnMaPW+PaDZFOrQ+F6zL8an3q5rSLau9XZVelOJgR
wahj05iY0Q7bl+/e3tYijxmVYdeKCNzDZIlCZ6oKg2/M98b5UFvl2KXwMvcXiz3vmca2xXu6O5b5
hvF2O2ZJaamL0aepztahcRCbQJe1yUPOTJI6Vt/ewXGrHwFYgAFbpnnZ0iSx56eyLAbMk9rO/oFf
xPxNgrVAwmBymycZmHA4lMj6hWmyzug+RhXXyuqqOnMsYJsFaV1U/ctaASHKxyCs1WFZtijKhtiW
ty50gHsHVsKWzZsQM6ZrwvsKk5sZpF3puH8oZjucQaQt7Y/9DDDhc3Ss8bCXLdaJboTToO+o2c5x
epvHLI7E9rWHpUNpimVtgNtTi0V1g7Ymeii4GDjpProIZzK0ReM3bPc9OsTWGoHBiSzgC+BUEVH1
/d5cdnYRFKep68+Mv8iveCjuxsQ/C5rGtbK2dx11qFfL/cp4oBsQe10B6Omu854nlSQfYR9BN4wM
HJd0UJ1u8baU5t7blv5D0IgpSv1yBNxEimxujTuaB79r9odODpxVhMLCl7igjjt0O+U0saNxr7a6
QfNVjmU8HP0N27o06fVsgFUiB5patfLlB29Y/Muq1OJH2REWcEcUoslMvQwPk++J5lgvkFwWxvzd
FVI8+8D6x58ut35yfmA+WGOP0fMvaNTeK8K8tstDO0brS7/sHpLaEHuYJquJMGhPXfIRkkNR5kab
6OS47TRkXhGEbYbm5/w7aAsZpHtvC3GszRwpvrIyeYHEPWIhSzSx0r0jW2YKGKDAzLXCCpQdtHrR
Vbjs1BaiYxbdSd+kDrCCOXPKsZSps7bJrSgFoim2CbbMSMytUt8b6sdFavG76911yYtIxYapthXe
l57d8f0Hlt+ycZIBBQaqpgCUSKzNwHtOfd1Ot3vs6ikzlMyfCgs63HEi9l/qcCuSfFMFxXFPJnKZ
FRodA6euUL6FqkfWDcNi/Ob6nbsDwimbL6PZE3loOwCwKW5S8W2P3sCSR1vBmezceZsuGthqv73W
au8aq8VQJ1C+WrMyjvsmW+tk2XLTnKMWWwxzv5VdFV7Ubl19RKoK+4oJuz7wHMG43DU4SJiT6SD5
H4kS9l2MI/xGUeCYQ6dVn9zQwtf32FvQ+47+EKm8DQxQN2Od4RLkG0NE3kvZH+zKlnPalzZpB8c2
ESGII+3qg2WVfZfOYyf7bIVsQX5ctp5PlGj/u93n+g65NLp/xxd4xuJKsrsX+9xuz4mjy9MUtkHC
9zJvX7rQdNfCePMX21akQST32T+0wzQUaecSYTP8JNSaKt8m+VtNg0xKHIE7CMc1/C7jmi/M3kfv
qqhVPHMHjD7TYiQoZ45ce/zzLLF0ael24Ud6uWpLIwRs+9yvPW0f9qZz3WwTA3Fx9LYgyAHpACOS
qDO4fCJJfAsICGeOqBBFk1qrKVqOn7A+TIhSqLQfpoU/rJbktpPs7cgzEa7CxZqs62mZ2RmyP5MU
XjWuAb97N9AVzHyKWOCUCqNSObmclcLo5hn/261AKlk4n5Xqywcr0MljNNkk+VIS03WNzdNpFaIY
jyMumUgTha4zMqHurQ4Xmy20OPCtxQolbLvHJbGXnsldoy/wfRXthdwq74satfToP5zKS/vRBdOY
6NFpj/Zg+QC6AzAaOVsNxA/ttS1u/fhsqSx8NsVgkQKkLumwJGadxhXrUbCqmdEgs5CB3qCX6dQK
g+andtt9vGh9YX1SykakaAKo/uCcASJZMCKgltYh8PEUdIR70SprY3+HAizWY9uqPydVP9hZM8fL
02Q75QeBl4zJmtGTwwV9slNnUCrIJBbNTkN5qPyb0S9adoOxcK5WYznrSQG7m1IZr/oLMikBv9oO
JEZfJrSfmr6ur9awWJusjRArzeah374NgPbmVDhTuGIE7G1bJvS4zCkyMEWP4/jaiIOjKcSzpKWz
yTmqTpuxShp/icZfUCtKqqhOyTKW/dGxAIJc0xxEMnWRTaOVWlz1aaiqbkqR/nF/QTsPKEGSFrHq
aOjVYa1bDpmPUcuaIvgx3JVAGrsU5YHip6ed+eveq3HLN4qPlud07gRGtakxX0wzMziPt2ZMC5aW
oG+Gofo81XtyC2GB/L+HZlyPE2WSn9ZDUv6aB6/4wdrTUVkQD/aShYXfc1lkhG869kjPox9QYQs7
/KQQDBzT1hqbm7K3WcCaNth+YCiEMnziwIPO/K6f1txQef30A2f8dlYYs44r9cijtTv6BdU+1cAh
1fE5SCszpw3Vyw8lF27PnczCdBkewE3BPmY9upasftGibS+yl2JiISA5or7qx4ZuYhnWtBY+QbjY
An7wujqItkh6DDUxYiq8+SOIhsDPmraXvzCPGn/5ZULWkD4Cb+kgpr3K59ryH31Nb5b5W7Q+0tAS
yAhY4CRjwvOHplR+lRmnWkROmdefn49CUmTepXkKtnDoU+x76C0Dd/eeIIpS+VjVMm95EyRyhL+0
dI9VUa3PgVZAOWpF65QCTrFuqdgD2lc9yOK0DMpZU63njdcsg6E6YDQ/QV4AZzmTFTfzXVWI0KVz
NNpWRoKvrwrMUIg2Y2N+WmtZXXfuNtX3rQMUqLNU+FVAFG+O/WoSyAhdn3jXCKBXfR5PqjzFxTg3
OXVnD4DFMUt/UgvyDOk2Gq+kzi66FtiJq+mcle/yWatNZnYRngfGqiSN48wy/sY0N27S1ewVPSCz
P3k4J+2n3fK3OQ2BBjU5Mbq42QavegnD2a/zYLLkp8W1qzY/H+rrDi8VCvchtIcMXoGLpUMdMWib
ZtBzK9Xj59iEesymdd3sDEiIRfqzGv3cFDuctMTauyClyd0u2joZnJTSanwoYxNvWVSjQJFa42j9
kCSNn8UWdk+NV+6oLstEE/uDLqAjDqm6HH9zYsJfbyVZLfvpm5FRUGGrs43RkbxvPtd2V/0AJjPc
o7+knsZwd6LTtjjDnCWIwZfpFJqejKFa3WViVxHhXwEHThUdDs1xI/wfWo/zjVdx3bTCEeR56xsl
6br3tUBHoPZINeTqILOHbb2T/NknWVmJdQqVY74XSiWfimWuk7ywAF7xJQwjmdlngJ/+jyKUCmAN
l0td7CKzpPaAg8V74Obr2lYPDbXvKVFx8rTuoU8cT9o6IN4hU5/2fZH8RvNnaFKKwXE8JGPhyyO6
CHGdebEgoJpiVd+oGp0PK/rpOvX7wMGNPXKm6djZQ/xjK2rz5K/ufBU4Z406rFvNM+GasxLPARdM
lG6JkiAGy9RhBPA8myC+1dE+7BnisdVP6qPET01stVeQMuaIKYUGccA8YCguRb8zR5oGe19PdbLW
jOztmuwR7mOU0NB66lTTmW8XIx5jFqT4wHIOYpLTR3ArxmTVHFcdiWlgBNVaJW+/HvQo08ltJenM
M2t8bfWr/aDFqG+hfFMM7b4SHyiaadeMkGULSmJaMKReXAZ21W551IUg/WQqevT3Dypwy3sb35CL
1nW7T+s+TRZmFtjOpIUTb12+FiLq0z1e1haBiDiuMiEMX4eGUsG4bHHNIfaF/LkvTvJkW/NY47uX
OCxkhz3R6RIbt0z7mCF5pnXvffHspXuq52TD5HSM15Xh89Tbl/SNeqViXccqw93OdjLBYLlMgxjZ
1dLv6TfCZRA3tpXIIaOiE9YRYiLbDniQwadahE6bS1ejpesx4DKp74QIntTR1j2HcsGmr1yinVyf
xNPXpt6KT+vmFUXOksH9PXE3N03iwieMHBnfb9W88RtVfWYju9FTASRLpU1NU5ZOBUPt1B+T8seM
nGOZqW7oyTCliIdDT9f+2/XWWOTIiHeklXnx9jToPWihHcDim8JT5NSBAc10dM4Mu6t5H5ZbS9ZK
gAeck7s+HDUB2rJ3BhvR6M25xbS1PexBZ3EY2Hg7qa1296rTXejzg4vwES0X2GyxXNS95TviI/Yg
W8hEb+u+RUZPfmaH1fZlrd2S51Wa8MoaOyu6An4cOyyWdLkhcltG4RU+5ttLjzYbtg/g51563zCW
KX0bOWsFHIV6ZZb6uQ9WPaZmbtwPVGZGn9SZ6pcmFTOebGv77XakjH1qk1CjU8My/iHBLk7QkE91
hx6kjp/wrZNfFrwVSBUbMqngIGN6sWbvlrsk6WpBp925zsFXuwqhVEX2ZxaC1njZzvTWaVK44Y0M
Cu8KoeHETeOl1E9bGaifVHDui6cMuwCBjzDmdL2HkE9fRI2gYtud8VS0lX0Nh7QfAVYX3ZbHa9n/
qDxtYlZoSTkh4pCE02Hey/HrwqzNpXgvm/5ALcBoMdJ7hWC0EsOLtAd7YgdUqF/LWBI+JTPbOF/j
zuLL2zd1NzWOeAGhQ4/tDnr5sjvTdmt8sX7nfHifQkzofgqmnE26TaBDkcYshieFXsTHsuxK97Q3
S/nDUDHG2Vgb9oBJRDOW7o3bfSvXpf2+N479uLRO/3lEK+jRUtMYnlbwg7fw9aMfVVUWPbKIpqnz
gQlcm++Ws53ApYEqpMh0f++gwL9PiBg9ynZTW4bUEY0rlar7rAxz/hwlqZAzp/lIdOw1COfZTvMl
9Avk8xq3AFTik//tNEGaOUmNksmYBfa2badkZMJC2dLNX1lcu/d1lHSfdSC6a2eoouZiVrYt8gZt
ED9bSSZbOgvPxgXFxScxNatffimswZTs4dz625oIi7C5rVg4dN0Y/G6tyDBOZeXzuFcaxU0hq95n
tN3Y/YGdz3rVh+sWgXqI5q9O6YqBoFZ60alFQjpOOZdAnrk7pAaMtj8QiAhvVdEVbF57Z3kBSkhU
sY3AP5LlUmcdeV7nbR/H/Ivpo41+YabLufT6bQ1S07FHTPuk2eKU0mN5GmANtCm0l5hZXE0tm0q2
Am069JWPsclMhEkVAOyKlYnmYHmlK39PDBiYZzs2YMxx8tqjD7bQyfwZ0/XciBE6LjQRQuNgSVri
vUdVJQ0YFJq8Y3paAiWR8k43A5bVYlVhR87tkiQr62G8Wl3k3fiJ9VLnCgPzj3JQSZhh1mR/LbYx
fJlYX3xuy4UaY244nxqk78icMOh8wtNkJfj1yfabOyNWnm5VVD0s2lu8B4xc/E8DULK+PcY9S+9v
7Kyn33pwLWL8FGucUU8TuS444QfQf2zcRNPPDGr84FTgOS4Q4FvUwSxd8aSJHZdUhps61j0YikyG
c/fsV0WNbnoh4xH91pDRM1Z3Ca1zt+iHYVoFU1Zitjgt0aw/JvMMFxwX+OVFDOu5Y6NBvA9M09+Z
yolalA5Gb6X4r9XHtXfcu2bZ7OowQNCq0ribzEutQu+6E5H5EvRO801xSgOUjof1zmze+KOrh/Br
y6KdCVoV0m62Xq0fJHDr7kOEb85IRyRX2srBpXhelFMzElqWgF6CQFoNNz3T1dG5kF3sLQ1DmMAE
HqN923SzDZopclXIsGCcygNbgTaiyqkNlbsNMLg5iNEp6Lkcr7rq8f/jf7fYqKVWvDl2PhJfH2qr
8e5iJqeUG0Bxfq+IAH3TzWQ9jvwWJ23R8DfshSYHeiLd+nM0ez7rFVpkLwNxUF/NzLT6XEz9eQ5I
lLlBWFZ2sLDcdTjUBT+HrcYWXkGNaP2jLSAIPUsHtnLqs/yeUZ0rFiqZhIISRS46eoIDMLQZDbci
rIqbYPPtLVuMSj6367ANFy5Svea0KFRez8MFu79wV5q4Q+CqbTlIry2/tRY4WcYXIyMdbBRFmNnI
vta5MGKfr+2wrIvD5u1RkrdtGM9pNfXRmndAMWLKkrn9BGPD1CzmzQAUO1p5EE0yrp8ZRHRTVifS
jp+FLQO2grEY7atJO3uQRmRPkU29R3k2x4Vs+Jgo008shjBDmDSNwxD2g8oHpQbD/BTqxsFzWpsG
sCpt1LgSA8DjiF3s5tzhhrMA3STHfXNNETP8b4OzqmPve8o+hKrevi6RnpN89aIZBnPIKiv1AV/s
t7y+wc3mkI1bPi9xf03SVo/LuHoXSS2HXw0ZTFwsIHObY7waVR/DYUhu1TKpJudjYYRQu9EgaDPC
Jjl0DmzRtNIBBWLFgL0/ntOjc1muVRd9rGkUfhXSx7xuWLzv3SxMl9fSadt0Q52lyxIJVwXVud15
CVqfyiZlHDaHJyfq3fnOBJXeHxl6bNPHnRF4ePApY0RayLX8DYuvNCeH1Z26Vlge0RJoEamvHRqk
7tEZkMLIGQr6wyXQ4ro8LtEouhvf9MWWlusetZcr4/SRTtTHKZzvgiKYaXRlrpTnT84jYYuOJulh
IVRptY46TGVFDr7ZbFkFd1aC8ImXWonZ5gPkUfmFqqoIL+1NdeNt554BYk0cGDdXdrc/dxWjwB/6
TN48zRy0mU/eZnEnKts5eIS8+lCV8P2yZcYynajbKuc4xKWmN+X8sEp1VkTcKqSDZ/5mV/hXqFGF
83VyLrof8A2Jt//H0ZksN4psYfiJiACScStAkuWxbJenDVHlakMyJZAMCU9/P91Nbzq6WiVB5jn/
+F011qx5gzl8DjXrI9+Xlto8kL06c7QpuxrJ6m2EuA+NCeSFbbetE+wRFUD6upYkh+bc+MG3Cvw+
PgHlt0XSRBp+pPSLeMngJuK3costtIDD7n6LzdPmuckDPWdqreuYjuSFEVUPMLlJ6yjpntZ+G9Z7
AmYt52RVElLPok1FHTnnhh8jrNGmFzontmGCCz02u7P+64sKHKTON7MyvMTOz8IfvtwBwQ31UQBi
Tr/DkjPotO0dyyPfj/OobNxnSY9DgQmXGB6ROMSLTHeu1cnz3C8U7BHXM985tCqO/7hYojWBeeqc
JysfIpGUUR9bTx4DXE9Ywz4vD3G+RlCUvP/rL0fN43oPVh16Hw6BIGGmjfZgWtTmrpdqi9bpnnfA
mRK2zJ6czokXIvUULvnDsmjf/nbgucc0kkDzN2Jtmv4GWJd0AfT3XCITfgTNucVlcR79qS9TP5Cr
PrkzcqIDzpXNfW2Ah/ShrVcbcMcGSk+GTZnuvgs1d0HDHqvTdewQqBuya9pDQxJ0c0AoYd/azlIB
Okkxbonbe/HEakRA6iUGePu39xscM9p0PWUsrrk4FkNOEmDBebHcdfHAcwTFvZt0YvRRL9XVPMFd
JYnFMbOZrVRRKV3zMee8ijM0AYFJcjUtX269L14SY4zeDzxwU3AumrCajrreA7aImL76zO2WbkpG
j+7aVNNQuGU5CXNuWk7esL3XUevakJXeHLz6unfCSwy3ypJIrmEirI4PTvPd9HscTI7DhZpqlSyY
TE2i6XbeU9ksC+W30zZN5nLN9d5Ss3uyynDVuPy1gh0/TWmNq3qI185/5g/nglT85d70tGon3ac5
Jt4CXv8fm5R+IASp2M6QfOW7l1+vI5rFI/vOLo29Hvt4ZbLwV+ZNGDuLMa8Mira/VMXEvViX1h6k
KEB22O8pFP2WAKMO4kKHkffisd6ivqsmAu4OgJV1x9qQz/ub2uyhPVC8GOXQCx3Mr4rnPD/ai+31
vyEiND/MUrXFLUAGKgAtpwmMGX4ryBpTIkREd6ahsovGWd6A4cviuJuctFGcEsGQ9nT/oPP2o8k8
dHNo3fvIK6Ib4ISgP1i9LZ1bH+zj97zkPmBpiSAMDlVbnGBj3AHNebVHQ1KI8jBpNkE0vnbbHoTO
afPyOIVF0B4qyTZ56XefTGBaAZ1nkFlWjLYZydab4g4ktR1z/VV6jtpTte4yT9pg7zVVecqTadWh
3/ns25bJV0BPVYdQNF1zHpXU9mNc46E8tksb2fc2eXec4AuQAZwmPAlTD9YA4WeMEIT6NPkaTCce
xp0a9lFj7SmrBpDXQflrPYgc+fkv/5rI8V5PZVlCBi+wtVlf5ey9Hspr/6UPpL2k80LA8L9qyqMB
soBztGE+B78BnLV50AebJezkjUCWD7vrVDK1EL6KbPLXeDp3hafnY4w+sHyZRzMyTuCK647GIkm8
b5ZNnVfamF9b8qhvRyqux9SV0w6riM4jFaXjd3ehqFR/wy3XojQ0EohEThqicJRiob1eyPYDvCsP
EjlEeUktjD//tPsUSAICmtm76YuRUKYFK8i/vnf04wr59YG33fwfN7EhAqZpE0egYsulZgh44JXi
tmijus0Lh9TtKysnS4iR2BCCDOmFukAcu47owFeya5Csh3QR/lfN2uyXjkNwzaxVRqhAOPLIwe+h
bVZeN/cZ/YVSdtLWwN//qWZtqhOO07pNRnjsMHW7MFiOgwdNj63MWPOgDuFe1dR/2/ay9PcFseIL
ccVANHdoXuVyDCo1fE0j2igwqlmCLMZ2R3wG0Z45J2JBHbt2dwz6zbKP72wT7fI4+nF5h6t4LE7l
uC3iqACJQQmWGt5Wx7vTIbPpRE6BXV3TPL5OEeqeYAQU1IPthQcfV1p7MJZY7yWcfXySK4dJ4mgo
w8RvjbtRrjWyzc2WlvOxq4f+NCG2KhJBUVV550KatWk+4xg+RwRkocLdunpLqVqe+0S5m7OnU+Gr
OYFj4MbmmpcCXtubrWTzw+LeUDdEkHq3RiB7cV0+TEg4URKVs89fTDp7FkhnEqct7sbPqhuLhwXX
MloYyed2CARujzt71FtZDsHDxufukjiPZrbvQqr31TTuH0IQ6mfPb/qvIndalBfL7u1PV+VNdO+I
BdAV7ZImxAbQu6fOL1L7YSVB9kvWfl8exBQ1GgjEopqu0EG8n3Zjdf85khf72Jh86o70IPr+iZdx
ijK3DJfmSHIEIqlJbVt/cq2gNqcARYFOtCxC/4ghSOevy8yynI6ed70Qusl+5w9zxruJgdX5Q+ds
7J+Ushw3VeW6l8c+CnR83CrKTJ7nfJG/vcrj1ZVqzD/rKNYgGMYTX9A96LgqYsNepg3AMDPF6n+N
BRaSw8CCB1fM0MIrz8H0psHcyiQvx+Fnpfa3TSXc0AOIYI2sJpjCJ6IBRsQNkb9UR9h1w5vklrl9
sIWS6I3UbHeEBRYByHhrd79LZeLf1Rb0P6iGvebe22yJeLnF+eAuqmmTUJVgbL4tezxtA5/sZfIH
VZ6RbtFtaBaQ69c5vJIWTNrzr2Adtr8OWpyWsMmInTWy1PAPgq6Sd5QicuHnQaC9W7FNWn+s6CXD
Y04vl3caS86Xi2sB8Z6KXYs5HbRY0My4a4sFNWexqYCUzM0sw+mFaF4eUcsK+q8WL9vfFeX1Lysm
yTnpCkJmeCNpkz5XhriAtBwWWkb6Pbe9qzpL0FqKJrY75f2yPO/T0rJPjz2hMBMMfZy60QZ3VFjN
BFxXSroC+p71FjHHuukzQqZ5Ta1lsJ+wGIGWqXIYyRVl3y2PLevgf2qJDOTUFkJGjwWP3nfdmbE4
CNfsLijmYoYbRH98CQwS/UFTEdIeRTk5ZRqYyftkv0AyAIi2tW+zmlZu8HnhTqKIFlb7gDdEkY/c
u7rMZkDY6r5WlXwr17qp00HFjp3V4Tyqj3DIu4AfTcCiCFpyp7PtTN5KslBr/53yFeEOYnx/R1K1
Ln/1ZO2kKQxyns4ohahMCH2fNvVopY0nDd3af7SZh9d/DT3E3mEW0HPJamscxE1nlQqF1xjIY+lV
ZMvGZO6Rzif6/m11Sbo+jutIgy5nUi0y/tnAm7DCdfA6Ds+zHtppxY8q9w+nrPLuRMIv2WfI9rwp
y3lQgX1R2v+umsIO74cgL9AqFJNTZKacwNDt2AoumzX3gEVlODRwOON1QiUU00+ogkMwUmA8B1wt
7BxFEgRMd9M1VMKkSxcVJkX7VpbITHpgrKUvJtpz+wh00FGh9bZ1LZsUX9enbUUU6849NjKYfejf
1CwlNBFaSxsRBCc0RZ8Fv3K6z004niXk+p9dS+CzEOx4YY4ragYNWQ6vyyLj5caUxvkv0GWQZyP4
969q14iMuCpLnBV9GFzpyXbOsGUHWEpM6aXwif7rgJwmyLA05P+RRYg25xqi87QHblud4ry1wwvH
51KnjNvC5YroBzZif7fRELHPl8eCsTE6+fzwPzbf18B8O4Xy1CBUbv7okaT8AyMHnPRBhp17hhYo
LjjjrfkGU2lcX3Uwe58ErWG/d4Egh2cVgKYf3C4C5NNV5Jhbzs1qTfy4j7Lo6h07TDAKztknuLU9
sRiVuP2KumwuKJdrgyjT1xjTQ5C2I094V987CExb3kBQjgzDfn7pxm28Lyd+/uMezPYL5NnyHEci
/nI7F9a71NyONvi0zcODUNH+kWNs1YcJYrNMIYIccaxjA7kBCt+gCDMA4fMgx+dw9ew1pTXHYOmc
uz46TAjnVoTLenUzUPca0s+RLvpxMHp5W9NpMmKXc6YCIh9c6yPshLLupGAQSOMBGjjx7Jq4Ord0
rf0Xmg2Qt2nI4yBdG9u/b9CAlc+bItuoose61XOCKkXeN5NxukexryMkn97K+CQsKa9J+tp5tvFh
Es5nSdf8GmJVYB62++k/o6ZqvTVgwOqRkWS7ZhpEOfNwZyv7BPXKOOIF0+A+gUypKbPYpHtO16h6
V3qtvYPIXX983cF/GafqAmyYIdxY784wWMvd1jiwczvmEv8B+KtZjrQJ+N5vSzW7SJF1GaDjQIro
uqWseDcQLZWpZrCVh3qtJouvqY+fKhY04GuIUfuMoDn+FKi/q+M0ezw3cdwYpIxCbN/zEm/cgfUA
9VygpOGhyqfix+rHeHlGOg7x6kGrjk9eGW2oSAGL1qddzMsXgtp6RNKKcu8wLHvQnrwJMVRWTLGl
SXXetE6UCZenfa7chUE2V58Tg1CB/0RZn1tvMSw2vourKRbtsr5G+ECm7wBQGCm5t06YY9Tem5ed
4hD7aQIwQjLhzp43nOW6cEEVKOJ+ueHmeeAgfvzeOY39Z4jH8E2g1J+ve97w2RZNFb+4eYV43N3b
Kr5b7b5onswurohVJKPh5CK7ReMruK2S3oXs/bVLkKW7cRyG+M7pQ/gFb1rqFx+fafBgTbNbnZiA
cjdza4gUmorixQLnsvKRzTYopLmrfPCobJ2D5Tvmql0SXfY9R7VWdkcR7MCqnzuOBvsn/+2xQpPY
HgLZz8gvOjbhpw0ASaVkfXX5gUmjpbu135vlgCx2JB2TSjqwe3NNM2DvWpha+p3e45Fh7NpQt+dT
Eo6bAgpT7iySgu+d6Kp5WBXTRRD1ic2Bex1h8Q2maoP7BthHQ3nJeQXjZJNgmEk9tJFifumHLiEG
mU8Yxb09/uymEm551UfPWzbGru8mDrD4p6zXZj3gARVuNodl6N3rUfE7eprw5ntyLZBQ97Hb69cG
jHY/bnSUXJ/GGFAOZ0bVJHugu+boIVXZkGKy3VQkeaCJ4r7mElwC/8PpAZoSJl2nPdWW7sfbdanl
qzP2rU4WXW1WOhtUujCyAs2yB379uNPAYR0pO29F1vVF0V9WZ6jKWy/qFyZVsaDR5Kth/uzkuj10
hCYQ8TU0inRVU6mKpVN3mtE73i74QarmA8dzeCYxdH4eRIl8yAx9/2f1w+YHLjJ6pZ0GSHx2c+T3
FKDeu7ZfPzY4n5/WTk1jZmAqUHjOm/vcMAjDeUN3P3sLlxCcJhFIzEbrOCV54yJ/tme9HNdOi/gO
mNIJ0zkq9Rdvw8BVCgQANe6stDooptDPNloWzBLbiBxuK/zopzCxW2SV1LVJEMbp/hyXg/hpLeSt
WdAgqmCRpHOP6Nyh6gP46Nr8nbEAvBvNHXHltAN99Pahth+djXM+gcZwxxsh53w/1UjWP1FJYYJw
tzZ6dWg+Hh97RHoTkFXorOAsUa4e52jjkNbRQozdYiL/TynrKjwBdcCWqULLiwi3GFMDCfbNmUt9
QnoaFnYW+uHYZmhaEc9pPJi3O5PlhtKOgMFL68TOLzVpdc47haDJHXL+UptccwYZZXuXKGw5ZcWo
9OfSWq59DMuK8529nUOWD8mSVMsmGP44XCi/TRnoMSmJxxGZ7ZciOreSAT/DDeX1TDmdTzZUXqgQ
30uPsqwK1vbbNNH8vm3WMF+s0F5v6qlYvOdo2qPNg1iW+z+7X7H1eJ0LFbCSJfY5os73b3cOrhSB
edXhyu2H+LjPPvsX2K0p26NjGUdiYVjnp9Kyun8kfrAPb7Y9finZVOqIVAu9crUsQPuq65XPfN7Z
71Sn6fIVH876mw0FT52Jtjjddu5NVBPCxl0zcg9vjOp/qTpcTWqpmYOMgmzkWbaIkD+3rJgPFZrL
34QKQLd5Qzl8h2jVpkNUx/1tKBQt2lE+A+bovZa3QB88PyTeGp1Epet/URxevW0ykuFBQ5iUh3FD
5oH3Wu7LwWtKiQ7rSh7eRXTPmMzJNXNlODkoxTFdI+VYheWCoOiN9K+JJI1Xb28LeAt0Et/hjNv5
JlzWHR+1vQfjMXQRiie5bcRwEoxp+ZXXj2WyQGRkg1UyfZFgr74lL2J5mTpsa4CJrtuk1io4YGdL
eSMXMyPtXdtCaaDkH9CWoChEQN+5LARZoyNLZ31cmAeSk9bg7843Sc4KE6N924dei0uqmt3lWMp4
Flmwiq0+N6HxBr4vnzOi2ZsJx89SGpmy1pBffzAMkprOE7gQQPpefZG9hemLn0LIFG70Kjjq7fiv
3aO8OqAcb+TDbutmyKwgQtvFROJ5fLlex9ncDUs+H0fMMvocWYDuULk7qtlxcsCYNdpXndIoomIU
NxsSX8n4jXGvoEYsI9HbRdpSTg91uPb3YTjpIg3LqQjvArE5f4UhuxhmdVm9E8CS2U5axmv/p9ah
dhO5oJG/XNVifUotBhgIEF+0pIFV4PJitIiis3bWqrrfB0d9sxxvz5xntTzhpJH3lg7m/rSaQvq3
iMTjV+Kp5Hc3zRshZ6icPWTB3Uj9l+pkyUpJhPehDReuZlRVnWQrQXaaYDbAjgR9WwAyKdbEI4lp
1PkNUnA1I8Tzd0q1l8l7wljlyGPuTtUdMcz7lGlG3fpBs2Ecu1mQuxVbw8hpSQXiDyU+XnVBeLh8
xF4uHzw2DZMiR5z+KwI7/OgFtquHKF5Hdd5He/oVNkbUnzYIxP57L5a1PUfTVkw8o7hI0i4clpgR
oQ71TVWE3C0cfs5v45B6mzRewynHsM+xyw04kyvK1qRJo3U672Sts2eleBW6ZwBs+aOsxfrukfGx
182wiUgH5/aP1XZMiKFDd8EZziiQmV82NeNTZcqMZtUr5RUJiUCJafZuBFHo0sFGpou3XdReVjuh
5YPa7+HfzpSQd86CU4jpZaj31HS4TLMmlOgJF2LYxDmwUJCcqnl3P8MZRVXqIMxuTnYQ5n+DlY86
zvlM4hF83COuEaRWs0EWc03DQcsztd023fhg38c62MyA4oFnqcUQ143vZbVYLjTPNYFwFP5qTgPY
58Ch0EZ/8BCLX8gr3L+c6ktw1VLVxRGwcShfnNKee7T93NHTr7JeFQwOKtM8q1qzrVw/vqzPjlu4
zNnBxnKJzL1TqQU8/qGG0ptPYmPVgtMqVHtfupSo4O3L1fxkl36v02XYlrt6qTv0pogjWZ0ETOA9
xgtlI4uVO+R/K3qaJb1JzuZsOcDbBxBW5+z2TWCj8zK4ezBt6ColEKi79atu8B7pnCjHY2BdYRi9
xPKJD9R9oTPm+zns8GTMa5tTAinQtNy/iNxAesz7MiHzJdIeV8yqNn2pQhW3WWyjUKvx26HFJ6w8
OnHG2cvZKhGwIo6INacjYPkrAvWN+dkf3OK+GOdueljjfZ/xQYY76gUbOwTUxYTnRc9Y7U9g+nn4
zIfqwG+x7uTJmtvid64gdpPekay7YVnGOWK8jsM4LpEMbvaM7XxBPnCXu5YfHjtMD7d1zUP/K7RJ
TjqzpyPQZ8dCRBcMjpV/NLWZwUM7tf74CBH2G9au0ZwsaF5xQS7PoBl0tTgidW94kCpZ38/KWVGn
opF/xT2F+ovnVDXPDJ/xN5LHGt9wWMxDgqXLZWMlILR8DYay+IPOKNyOPVGePpsE3Xw4trzQPQ7t
/9dOkvIE7x2Y+7e79uN6QE9b3YMRjfJC00O7kMdV6x/jlqDcgEHo/gdCA3mAho5fWzK470fbn/v9
oniVi7TxpHySRVvh0Ah5ld+4nTu8ACgDivsStXR0QVguRTrX2FERS0Ljpvk2DbdtI6o8AcGL3gdC
p+oT3kEmmbmtq/4mHJ26vDiuVLRrUgyBQQeKifRMqs/BZnN472RsPN2/r6rmLXPdilBL4tKoQfA7
e5oy0O6oeUSoS9p+YDbcKZvbF49Uxylu3aUxGSSAl2dttQJx95aIftOrrlCkDNua3/OSIbG4LnMv
duE587nZIyaXPIw4IgIfo1KA2TdKtaO5+mPRq+BuNiG2gxAYgMPXWcP7tQ72Dzn66OU0oHyctCKH
dYtrm53GrZbtqeX/w7eCU0HyAvdsIrUbdjKxkQ/4maB5Y81agS8w6xwPhEIV4HqHeURplQSF69Un
5Dh1dHRl1HonY0GWksnVjSc7kshrB70JefaCXHrHRZbiqh/zq8dpWnOFxq0O+se9HWX3i/dXBTe5
Y63mBiMFcHHjzY9liJM2UX25IBjlS2QWJ77KtXtnvichyESXuB+7h2LD0H4Tb6SOIH+pd3YIuUWo
X/LqZ8fpOt5Ab7I+AUnF0n5qLT/qD0Ss1R5PW7U3aTuVvkpHaNS/uoXKz0JtqTEZQjAkRqy9+KXx
BZg/wyTgyCQTW53liEOCU7/Adp37ZQyZHKlH+BFckXg8QvqZUjtwq+60zN6yPk2OqgPMfc32Fq7k
+PO/CNoIw4IYbyNlCvtkT+heD/NeQE8Q+cDB3hX4FcGhBm6etkYKczB14PBB8wreA3CuQa5sW8G/
uAyLMSlcU8okGrfByVoirW9MzPGZoLYk5tTf3WDk/jKj/q2XYg/gqWhXUgxNjNZjMW+/dZ1Hvwoo
HofRAUl/ansTnd4OwiT0zqrE9twR34yro/H1evDzcPgDFQJtH3exYIf1SqSGfDkSzIK5sD4jJnfq
zBXhDlQTzJ6EBcNUnBGfU4RHZwT8v9mQ0gBadchPGcFqWwMGIq9Lh3CVVlLVmrstJ/nRuzE7gvKz
b9roH5wDZizgoKrIhBmMyHbVbr95i6ETMWNuh8jZlHMSHVm0BCos3uuA/lDdqXjdpksx+MsbL/i1
oW+Zi6yNlfonJrH9INeVOMgGa0MTFjE8BzOKTy6NCP9TX4G327GaYLwx1cUny+h9TEyR53s2CsH+
xOP+pNBI/UCixykawKsXCWR6/Ni3Za/4cAGz8Mq6gbVkKYZHSKqB8dCgeblhcl8j5vJxjA4q3zn1
REzEQ4L1plMZJR4++peB0yg1JbHwB4ba7X2J/elFDI7+NG24nRtiiuRlAKe+DUlKu5pYV8w3DUUq
6HhD8v/BtPLqbkAD9+GWY9QxWiqnR4bNwc0jHw4mI9MqB9GkbiU8R6sV1ekmSqxB8UryRhkhdjj1
CP2IdLCGCEVCVHRPFIUNn8Tdls9yq61PZ+4gdtqQ2+SObKxGZACVi58gfI/uwspgJKFxx0MIZVPq
J+oQgUSbu+v5SoJC7SG6B1dHYXevPdP/tak/XrPZeAQREKiAZzyMVBGcDP0dMYggkqPnaQtiFjzu
ngPLUvym0eJJfDP5HBAzlPuvPmrmCorGNa9huw/vgVdTOyUcVf6ZOPVM1oA//x0sFF8HRMaFOZFK
b//hkSA5lDXFZi8KV/NIwIR3TczbfY8ekbGuMx3PWj/R8zIiqha78x0Me8c2Ag/XpSokTTst9rB/
kaT/iGzo5+JJEiH1j8s8DFJrbjaXRdoRKGu7pvnbwdQZJOhDyF6zrx4qO1FDaY2LQk60C4b5vcez
ijY2qv1z6LKcJSW6e8AjlwzmQzCST5G4Tgmj4ZkiJqNCEmc0QdDMp7pQS841vwYfNLGv+FtE6z8W
YcEu5FSx+Fjy0HVPswrNr0o2RXMbIFz5CcJFfmir511uebf+D5Huc0riXRsmRCOVb6FS1XIe5I5f
IyzC+GzFwl0f8IfR87XEZkZP6UqxXaIA1SnD4wIaomo6TA/1ZILPbTXIBMwcT/mphpa+dTDtyWNP
e4rNaKSvsDGGSO+0W/t2Nw/TOt+4WPDiNKhZWnEcrnF4C0uqW17CgU9hzQogGp9mVcOBkimR+s5U
9Q9dkRNxwdNr/645LboTki26nixRb/q5Dubqqdbb/u3gdrgxDq7KK09OIf20qKGgNX7zd8xJEYB1
nAexm3g9U8BNFwyejRTFInPOk2VdnHyyGSDlfU8VqfGYL08g8qXzZbRZX5W3WPqIqTG436eiHU8B
kRCfcmazAF7t22cEnd16WH2+OB4DkgoSbkzSNtY82J9VM/vbASBhQ707WuSwFU6AmmW2NlYetv2t
OBdglJlrGxj+SraOx+CyDP8mN2JJmJAWTIdpDYzHtrPnv9q5FdZRYCD4tptGBDfe6or/5r33W6CV
wH7K97pFcq+i+eNaIY1YBOM/o4LXxf5lR2hJ1TupIY8d2VVImSGT5svWL/5+xGzePUUA4NwaJJD+
WTHQA5pHvv4TB21p3czAay8D/oTqgCVaPkyoiCs4oN57coDCeco2ARfgbkrm9/gPJT7PeowftdM0
5oQvkxJe98rIoKAZXixnApiyOzcuM39qBl4fa5zmx3gtTJFta0OVmCb5XZ05npi44tah0JfHsaE6
yER1w/MUkiUiO7QjZQE7xkk0ReLUu56Pfuf/CFF7dYaCbXBNJRv+7ltfmYUnrkXFxOBUwsSQ4TIj
DXTgrP7WYxk/VlxvpMNwkXwF2LvGiyzzws0sE4I/AEisIgvJGJEp1tvw2c13B8m76MuWuooxfJrK
gVNezwx5VjvgjiUSB90ewAWE3AE+oRDpXuc9+Jrbh0cbXgqNU1cKP5nhXsAfbVs9M6QxyK3KdrC6
aY6p0+6L7bFxOEMPywaNtvqVvI7QI3jzvgQVyJiSZSINOuDDklOmdCt6u9FXOwqj5F92mjAkEcR3
H/meuUt836YxDD/99ssjj+s9V4MmfKEU6PB3yQlyJLVrGi82G8xzsYY1Nny/l0iEMFQtB1UhR78H
dgAIK5T23vKozp+mYs/vbZia/NZTwR4mZG5YaxbHq9Me9s0Jttu+8MhPM5Pd/tA+2H9a5Zy/bYhH
95uaRK4fyA9JoVmHBOIAqriQCj6UYGNOHrd3xENz6ApvKf+SZ1SGJ0LlKEvctmYLWH+IRbixwn54
zMvBAYEPWLwyf4Tq42coO3xMfpCLc2ghosePH+yoGcdhhINQkZN6XTskNWWD/hlaDKoCdUyVp94e
RojXUDrTvVE3c/eM52F+2qp5+SVapTmmEbRr1PileR+9636Cf2S5kMWAbCyq23C95YzL7ReeRowU
wSa6Bcma7ztZkQOWYARFv3ZgMb0G79vTeptHBq2kb/mkZULetUkQFY5dHGoqlv4bYNivkjWcxgdA
++VzdiIU4Owp43M59Uj2ScO5Vaik/CzfoODIbSrwo+WikP+KYXZMimSc6JdrZoZ72JF85Ecf3GUi
MEDE737ulm9EtauX2kheHOl103kLlG1Dw5TeLQadwj1UPDRE/zPvVJlfC1IlNmnHJxVX4g5Wdupo
4wbmfuzmBk0OQLX/OsXRog/9LEZeBOQ/OXBCwY3pMT7qhz2XQ3woCKvyE+10Vxd3wVyTWYVTfQS6
GvbjANEyP/FRzfPI5UQwvzXEIKiBL6Zsx26AnpK7K+Dr8mE4W2/Xb0Q+wf40TdR/63gJx4NTBBFX
RTPj3EDEgWbEGyeUgMW1HCGpRN7K02gblD6E4lDdARok9IO7x/IVqD/wH3gQGzJD3WDOM2fwudMA
/6HOixm1NaClPxSZXa8kwvCfLkNG/DG5BVW4E4WHn5GQf75bPFfARwCvRDuEVTou61QdNZG2JQtW
uTy47mJfQwSi8n7fhRW9FLm3vbbXlxF4omLL7VUcvNooQIg38Pv6thijRpCwE+uPBdLTnFo89g8t
FwJ1ah21sAW0k+JqmNeviWjo/0hM8O48q/WINgqjPEoKDxH1BSebTYJzr8wN6UT+ZRypXDxgbEEV
sTNZ8byy5/tfDoDou4NCk7EJzRGAJvbN8CVwG9Fny7gEJN1wIScak9ENQRTLcOLflfVBrwbzTeMG
vZ0KnEXtMfLm7asJV5DtfSnjInXZgNsvQNkow+J7hXTEyNzMemeJM4LC+bKIBRzJigafuST04z+w
Z26DCd8pr/cD6dD4JZpVvJLEZr8Y7TbfFs/Jp26Nui+9YrvaRnJOUD/fum+M+vbVoewAl8WE2P1X
thZldvAvgTls3F+3MU/6dtt4bfNk1VXtJzu64Orgh0gNPkjGKHC70UOMO414ZnD7nU2RewayOZ1M
/z/SzmzHTiRqsy/0I0EAAdyemZyc6SHt8g3KssvM88zT98ItdTs56CB3qy6qpJIyDhDDjr2/vb7+
4xBFU/Mxp1xH35RTNa8pOUmkoYDov6Gw6O0z8jG9RAWUsVNiCmmZu7Lk4nnp1Vypv1MYV7O96MOy
eCCvkd/lxFfTuUIWI46B6iu0NCDhAtKTDsELcYj4rvke0Wc2IRtBs92ggZvUqGzA6eD8sCupK+Wk
lfUiOk+TM9JRliUEz4VUHeZckBmEyWyAwynlCscukNda8QGZa/xEM00VPfRFYiIFUlNEV7GvZ6iF
I8M/muSSC0LIbq6DllAYX6Cg0bpuaqGduahkpL5Hl+W9QeDyo+eiNavohBWGyI6VcHpEmbYonzBw
LsudFqr8ahpthLgTNvJvVNp2ck60NAnuSJDmxG3YE3WosupR/dbYhfKT23jG2+1z62WUqYH0cowq
uQMb2YafSqRfJ90fxvaYiIEb/yS6GgGs7uUnVHXRswbpCFRUnhfTU1iWOraztNpgAIf61k+f/gdl
oFSasOldaXfBHXjOwnrsROg5u8kaB+3wP8LTKwNRbOpOXodTlpZmRQZyx8iSYw8VeDihQldz/tSE
KCGPivFSVGNmHZOWE2ts+XA0TsT9Bt1zBSQqCXDAa0J35Y4y//8/0LgUP0cKPUXrAoxW95qZ6+hC
0O8K7plbcOgZtLkAiQIJIccqQVHyzwIkGs20UDp6WrcFk3DwgB4dQynspxE4zJ4MkfVd8SbuEw5x
IDVttGc50TiNgJG+Qd9cA0VaOtbxlIUsbJkWSFCFKU26TG3d2pqaUwsPE0x22J1vQzdXGJjSAg5n
C312ddAXOErFJ407cg1xW6/6xAf0v+oozOfaouKSP+ASVSY0ZN8eVFt9ywDwNfTMmActPU0yWiB7
j6Sj23ed9oyMwT4bQlP2BgWZE1EX5CL0Nce0ltOh6ONyh7mpsy/6fMuUd21qge36Pz9kZpL+MbWg
LVVWJXnJXZpC30NmZdtaeE+7aLdh0br6OZFrYAg1g92vCK9ykIllVK0rqR+fdVs3nyTYuA1m9eoo
lmHxtnQdYdvic3boU1oNhagrcGclO2WYl7yvzOPt77c6af4YZUHG1htfosIaWregKdrFocI/2lSH
vkLiyu6iCiElMV+3sR5WPhWWPyompppq4Su8eDQM5B0SjUbrWvAQj2YxNk9t3HvA22j7u/18K28R
LSiqGolcCVr9AoDeAltCDxK1LkZ1gv7ZRtonpJIUz/92HMFsUHXcbzRQtMvNJsjYzhGxMPuiWn/K
J4FUdBr8jTlxzdVlFMJI3bDokbwizgJrRBduMvM8cIsnOy/FF88ZlOFuCiPhkgf0xIY1+/z932+i
+FFhKcneZQGQX851gdWJBY+odgkR2tfA5JqhREl8HDLpg1SeWf+xzKG/eUJsgG9/G3UsxrYwTXAk
zHH8Vq352/65oqm60AgWTm7TKVJzY4S+oJcMxeECXGQidzsL3aFbtcRjF6oCsuSaopl3bUt3wilW
nZJ7lUdPMTV6uC1mYo3pnpYIz7xktNMiIkjhgFJptR3/LrVMqvAF8u5dQkt+esQOCoVsCvMEpWAy
GZ+tatKLje3zenpCueZgMFDMGHjXLNwHNSfJwzAUoxvYsfwMKAodwxSoL7cn5/V6m0eZ5ws7NOZI
i/VWxUpsUNMYKVWBGQiUvqG5MBBuX0z1+fZQqw/kSMd2DBCKYJnefzOVVtXJ9i2Gwi/7GBtkZmfp
4MaqXnsgTC5wkNOlIUm0vx8FgJRTVY6BySBiov1Ym6APJi519CxsuQ2uLAAymyq5VW49FlW590Oh
bc7oW7QH1+eClO+StIcP1fYz0giAoQgewKwGb73TIrsViTIGGxvL/PcXi8BmeM2waFmlLrDYwMim
RmlrlINLukQhhZhSr817ZHpkHO7LUo0OUs+3TMhX3q9NBtDEqYxtBufm9w9deEUYWU01upESYukh
++RoVW1/1MHe/P2nZKjZJ8HAwQMjyfdD+TICIh8zNyNj+GaIoaW7i1qv1I10Y6TVN/nHSItJ05QK
CJk2Hd2GIPQj2i35lDn5SGuM6NwSygk1WVuebq+H1UEdqok6RjoqEcf7x6Mfjgu0TUNHjXjjX1aM
/yMtuLzYmdAeU60VbyOV139vD7r2+QzOPIOXatjqkhdO25pPUSfuXZ8el7sypcdKMeh4IEVdbbzU
taFsKQy0eI4mIBK+fz7Y01xR+2JwewMoeG+UNB+F3X/t0DsbJ9HKm0Q8oZqUPTgL8KB6P1I5GnnW
abJ3o7prnqGI6qcR85AvlHbLB9vzkS+G6o/bL3J1TKyC6DnjDESZ+X7McCSjqM3l0Q5ZcErVt07u
ExDzh3AAnAQjQAX/M6ImNy63B74+6HVN4zzAj1aVs8HH+4HRwmUxXKSSQ88MaJ+m2J7ggfEzT9v8
Px1Iib/xHa/3bQY0VJNzFqMPuTTNqlh4fSDqEpa9UnNnhCWXxmG98Q3XRyGkJXgW7N2L2aLVGXTH
oSndNB+QjzjI9l+cSIqNh7melDwMXrQ2R6u4/mwaqVOj85rKrXp4Zqh36uksySf2hwB68a/bn2pl
MDmf3rhygfQ17cWnoro1WmUYNC7AHeW+wX7wFAxe+jSqxZbh0jzF358FOghOoiGpzaYKS2cupzdN
Cgpe7RZFXTY/4TVzixLtmDwBKEQ13VF87O5o8vGecTBKuOlqHPW3H3flEwJBYvlxtmMGt7yWQICc
vJiUqmt6QfugNi1yF/qNXm+PsvZSiVYcbnP4B5nLU88Opxx7qbx1g1QEJ29K3+jcTY+Wgdr49kgr
K21e25h9W1xexfJ5KC70gTZYlSujST23g+1H5LCBQVNz7tozyNXm7y2nuRNi5KtyBeLoW54JRY6Z
gg6awFUrZXjmNIAqJCfnXtCYe7r9dL8DyMWU4QDn3GFJz/rVeYf7I4am0y9ABwMUyaD3M72bDesq
Kua05+zoqjDuarPK/6M1tn/DjEAc2QfVzwLM98Z+tvI9mTBCYEGiE7ctTySUzYMoxaxbQNP7GXYt
ZUo7rJXLmCKvv/3MK1/U0QEOs53hisQx+P6RLStNZBuGrRui7rpX+sL84pVtSsNfTaIIDCQeMYe/
HdJAQM7WaSBQwUhosQeg1MmyJIxqF4sJSA6mPFJ7rQ8q2PN91tOxfnu46zXIcJgwYq6iUka0FpHM
1JPuChq7cgMtaF2AF/lZ4Vk3Rrn+ZoxC2Dsblqnk6hbvMUFXbHi9V7lh40xP4Hbsc+I7iKtn1Mvt
B1oOxZdSLUmujpNH4pq1OBeU0oDc3yoU0KuuvKtzvUapauUn3wz/NmD5PRSLXbdhDjpXlo0UYFCR
VYnq4iSSXQhavtE42M9dWf7G+1t+peVI8zz9Y+lpABziuMkxqAiK/tS3njwYCviO269ueSbMo9BC
o3JN17h1Le8nXTRqnBSt5mpEIxBXTfmq647lErNbx67RoiNUSOcRz5T6OMA43FhsKw+JU5fO2taI
U7iKvX/IGKtkvItARgpEF3eZYreXcG42uP2QyyXNQxIOWQheaHS0SeS8HwWYlzRCdhY3i01601P6
UEMwnvjIhKi6sYP5S2efebz/HaMI5iRtOO/HayeFaMhTVJfCoNrt0ymOvlWVBY/u9nOtzHveHHGQ
jUpGvToJOtQ+o5JJQfcKHq50TUcTjKWGRC49NvANNoZb+VgoT3mBpMMc2sEWh4GZl+jG6T/g2mzS
hFRG0QMf13JvP5Q+v50/zxzeHhs91w6hWhjhLTcO0ciIyywqPFZ87byGeRaQ4DDy+nNZKGjAbNzd
QnIqfnDKjHrE/aIUguN2gpKJfrUTe8UPNYAndmuFJ99RqwtzW6v3le2gcC6nYMQFgW2VtnTqeS95
lTXKAaCOfJ7Q6pC6SRTdOMk+Dp1/ADOP0FAK0aG/pp9AUBTD6ORu8NS43UOQyYI9Lj0q2nEUn+PG
+bv2gW2c2jSVmodFwuL9RBp8AXcGaqkbqHbkTvQb7iIlyUkm0Gx2+7WvrBHSprx2rNxXUklRBMgC
nvwENivovlo42Li0o/WH1miL/4ax23Bbns+YxUfWKR3oLJQ5P7K8MNhV32aTynDY9MEVmvz0F0aT
9hcfp4o98FvxAbYHzs8pfiW3H/R38Hc1tMlVhRsLadDlaZsmflSXJXIrcru+eV9kRvgNPYTzsVNs
c/ZatWHaBa3/YWqV8ptI2/KErl9+Lr1cfO0hIXzoSBkeb/+qlS/9O/+LQp2XcpWuTwdN88PYwAaV
Bu2LXzX1HdyP/AsKumjjBawPRWmL6quc83rvJ5VjTKAMFMmXblSYkXmFWscMs8dcQWDy//BUc5Ze
kARif18czGknSnzVOS0BmdC7BCS7OSRKEHyk47x5vj3WygTW5/uTJMVtYDS9eKxyJASJanty0QdM
8atPbPdlQEzw2CZAgX4IMSobh9fqiHQyzpknnX8tRgyUNPS1OJtcrS8seuxBSqJ6w+ml9cnDJv6W
M/UyncDGyDmpm1QJiNqu7m91pxRWGTejGwe+OAyCrseuQEmFPCNFKer/UB1d/mXk/XtM5iQbMREP
5cfFZAnQcaa+yQacWflHxCH0cyIBPud9Ev5/DjUfP38EPE1O/drv7NGdhB2FxwzzgZc0Rhu0UxJV
jBtTc/VlmljLWlLH03AZE4AKlnaADMR16l677wH8n1sjSX7N4vmLPxXFK1zcYmOOri09QReXQQ2b
stLyaJtFeUXfkq00aTp6GgAMnpuiCsEh0cN9ezmsbbCk7W0GM2xpLVd5VFf0eWfOQJu+oEjh5+WF
NkWNdskY8ldP9IMtFi6lCHA3sjRbI8/L5s/vCPw0UsaMh0SZuC9TC/WTMwIVHTLnYgxa+7MLajQF
lcyzjaG1tbHnGi6LDWtbe3mslGbRUYCP+apdVeWc5I3XoWgcw+4AJjiy91iNBMMh41rU7yUSY3ek
rzUCwe85d3C0bG2n0gAQ7O3M8EFc0x0NXW0cPHtXmWWNWdEkevqie7g/x9sfbG1ukAUi+KEuYVxF
4mmQetoI7swtEzs59Y5iHUAHJESPqr0x99c2LgIKVRDHsW8t70tqB+LZ6KfJ7apyPPl5UF+wy8kP
qj9OD0GQj+fbj7a21kAFUgYkyDdJ9b6fEciBdd8H/up2jueIk9Hq7SPaFs9/7vRc2G7qzVQJLa6b
j7cH/l0vWp71KEZoP+CoJ1JejCx9zjkVwIWbK4MoYEuExlvl4ALjNlZpV2cDHYR9wqkrDo99FQfQ
DUraX9BZDua3HmxC9oGuk1iAlg9pZ/Jyo7cPxRiCirfBC8Snmt5v9ZKXXfQlhYQ2s3K8oqWBI6j8
OzT405eo7FQ0SqMpkZCiXjO+Nz7t2Ht6kpofUzNN8CJsJEIHumfKz2MfWSia7XJAld9CvLuHmqPj
G3T7xazMALK1MMIcThOi7MW2PkRZLenZHQjl2xljVmiJch/FQf8duW2UnOq2DcvT34+pWaTIyPOT
8l/GXQWeEkHXKGTgc3rrD2WRjUw7doYjgldPo1m1I+nx/zImFWjDdHRSuosApPLJDg8VY46G5fER
NATNDXvDyVSG4VOnOhsTbj6jFvMNwQVHpaqTfqeu8X6mAyjUOw8IveuneDfsvAYbm70JuHtLOLOy
pAxy0yZXJCmJCxYf0IEQS+NZOrgGtIcAwoSqKbB9UtxKYbXGYP6DaXqI6jF6u/1GV7YpwwCxTPzM
vygKv3/CqY9qqZrU9gSYcewhZDg6Ryx79O7YCVNslC/X5ilzVDMNDdwN+bj3oxnpALOWRiq3bKYW
tlEDCNQIFTEcrGaCVyIBmG/swytHCCUMkynK5ZUkz2LK2HngN3pQTiiSoGo+NvHcHiyDWCJ5TN+k
ojxamaUP+8xuvI0ze54dy9lDuXQO/zUTT+DF0NDQMrXmeuqyp5QXNv/kmDYI9CrbiFwcZY2LxLbq
kFWRMu2Krqw23vbat5UOl2uMCnRyd4vZSwo4JTjX2BWa7MXGSsjF8ODfCReW8+1JpK2NZMEQn3M/
DvHX/P//iBFiDapW5pd8V8Ik8SGITJKqNB4o2QFKDxWRnTOlxaNutfQG4/mSfS/rMrsg0rJf1TTT
USHS2fgvq6CUdyG6lcYFrUwe6fbvXFnOHFe4hhiCKIr02PufiUalsZx0mFwjoHdTtA0k8Jou5I1R
5sW6+O70y9BdT16RLPcyalGEhoMgWEhX49RPzl6XtsU9smv/rsUfiEblrq90+mq06N7CiBPak59N
/5DHzXEnHWJaWxDQZ2fVChH9WzQU/6xVlN2QlIWOyckkrGYPUQyaH7weWky4YmL15aUj7R6R40TW
v1KpgdqChFbFPffDZLzYdYnpsjSsuAdkmlpQgotm5COFcQGAv2GzfujGMfp3MILixQh9/5coZNoc
vF7z6d71MGDbY1aKUQ2k/OpOh0rnH1JFjhkOOb2409U6zf65/Sav5IRcVyTZe22+CVKLXF4CE4Cx
wBJ8k2t0G4ofRAVF/18L7Ocr/dVB/awatcGdN+xkf1+2A8TQjA8T7Emkjb8sROLpxgG0MtHJ6LOU
yM8RlC6rCbYG4DIpNcPVc1TvO9/UvnDLN57xHhw+3X74lb2SOyH1Lpv7KI8+b2x/rCnVqbI+L0y8
NRX2FlBuTQlKJ7LwGPYb+kY/UmYI/v5CQxqFHCQyGoZcbpb+FIoQ9L8ODSKV8kLY4ISnXuBB8200
NGur2javt8VCsVEFmQD05pv+MoQI6pHi4qTpbqrTw63TtXCuJBYAkNfTr8i3+1OqFi+3X+vKecB8
InksDWoZ2lIsxNXR6posMKhqW+hPAR0JrMXttH+uSofouexIU/lTfE8LtL8leF7ZgDCkR+yIdIct
2Vl80z6d6LnHbxFVKoRuWp3AZ4FU//ttjoMcZSCVUhpJlkq5PsQ7JR4z6cat2eNNaWGzHWhbfvcr
S8GeFUGzZJMS/jIrHjWm4xkEZO4A/v7gwPLCaq1RjnpO5fD2N7uqW7IPcAc0QVU5jsbbm9/rH2sB
HT6du1g0u1Vn0V0uU/PBsJvwGCrmdLFGayRTnDbfjLbTD4FiR4cJ35ONt7qyHmfFCV+OxC2/ZPEb
JD0IMKUiyzVpO/qaRGYD1FzzTrndm1/xCfe3CsNrT42o2JjzegJxrD3/oj+e2q4TWdDsI+doN8PQ
3qRdZspo0XTM4kAtCd++EXucuB+gsPphjznjZG1seKtPbRPlEyLyY5bLJR7VcQgS1QLN6RinmK7c
PW458KqQFBxy3Yq2rvwrS8RRSVoL9vxZv73QQNL4nsjIay2XnqfIBhDixJBqjezQ2FibWIUx217b
4UeED4CjbLXG1p58/2hG1a4j5XuAP2+fQxg0r7cn4doPI+9p4CMloMSoi+BBy0HQ96pisnZt46NF
iLsz287feP6VLZE3/X9HWewQJoAkzNBD7C5iUK8ce9/xpRdfh9546wAA39V9o2+Eqb8LPYttmIOG
ijWVXRppnMXMBk1PyG5zyhZV2iq7wlLa6pRnQ4EdCo7AuwYbF/p0EqABHzJ4FvQqFQCGHkUEU/gh
VpvuH2Ct4wWXG6/7J0wUA78HkQHgGSGlAAlBqQVikXZdf1/1ffzRkz1uRrHo5J786NwtryTDKzUc
BQdE369N3PnM2jqEKFbOQdzAYNOx/qXjEIw/ljFVpHkHnElM76PtDeiScn3OK/pI8f1D3cN2ALJr
Glsl3NUFqZPqox+VBgfVEO8XpAUcC450LUmF5aNziiKCt3NVWmpw0WI8X3d1ZTjKThtD66LJdgTA
IFC/0pAVePJ8ezqubL9zaYfZSAsJYuzFOnHCVptdX6Q7UWk4RtLHHi0SmHs5qbqxB6wcmQxFZnyW
ms8Vw/ePHZsxbUa24NTyw+BnTI8T3OICf0K/Gh9pfBsuLRyCO0r65lYozV9ezsxZ1UD6jE2B4uti
5BT0ZzRO0q0n4G+ZKbq9MYRbtbK1V0kNlFsiURa2X4v5D35xjEPbMt1+GjBL9LWUnS3SvwKq/fL3
H42djZYGG7kUEeT758EtA48YPeVkdvB7juMwf0Nyqz+GDXKK20OtbSTkijGUnoNVCoHvh1IyCINF
wfxIB0u/802l/CzTVDyEXLofxABu3ZLVRmy19iIdblfkZ1gcbIHvx/QjoGsRbqSupfutdVQIwtJ9
aHbFEb5KtHE5WB+MewFqbIJWsViMRuWUKfY9phviZs7OkM/8ci26gHgyNhbA9VBcW1UCRhryCI/1
xTQcw9CMjY5N2RHJdF9WI7hqz5w+FVOwlcudX9H7GT/fkHVMKUjoEmoshoL3ELOpCtM16bOnO5pD
PgV6eLo9OeT1ktbmbQyN7iw8u0reOV3gBaKNdLf3zdI5D1QtxIvZ5n1wj/FzlmDL57T387z6mWFT
Ab2YYxVYWB1/xsJQ/ewY6Ar3VRqVYKu0SFA2B9dmgX3FSw2vhbrRqkPkNfbrYEl6z7VAZL8mehs+
dQX6/JOXS4MM5eB5P2RCL+NOMQP/C51iefpgQ0Ozd1FL7nFHk4Wi7e3Okz+SNjb1cwgk8IdlwlqA
kq2Y/+HUq/+oMO77gK+q/W8DXTffc4XtRvrSRYHxYWnV58ApWuszvWakuOJpKruP9ZBE2X2MQ8PL
lJl9fPK6YvqJg2KVXrwceP9h7JEEgdMsxeee7ng0SCUq3z3Krkw7kZPD+cVIsl7f+WACfiSxF3TH
fIwaSCEEzI9xoUhM9NKyUe/wYYQJqKmpumutGaeeSL2VG8f4ymWZwjtHuDVfGMlwLBZE2Kgqrgmx
7hIF49AI5srx/1XLgNMQg2rNeOwKvUdHEUcYWgbSSeBxCqt/5sjSvk524VQbEdPvkHgxmRHOcI3U
mMyatbxOdk3XQ4tUKUykwScbN2YwHxFAMnjWQ/Voj1ZzxN8Z9EVE6SpXDOcQGEEEckjXqTEpwIPI
Kn++PfW1+TUsfxSJcjqzuEtQgF3swVOag5VMcuEaydjGYENsJXsIM3gczDbH/2pNaFguQxZCZKkB
n0f71FEn5Y7enCa5S4t0iE5GmOJRufHD5h15+cMoKhPoI/ImVbn4YZS/0JmOObiqIM87qGReER2T
sS+dx9FR27dJceJx19Wxne/BOar4AVDIwmvFwEfsVaTNoF4UWE/6QccptwAL0TRvlOfHD0WodT9v
/9qVfUqg67FnVTXRx/I2ZGLuiSVqpVMsT9VPMY6lw37UATluvBXn+qWQgEdZjPSX0eTiGOtaGrHs
QNVdtc+cf5LOx8ABEecHnVAVtg12NSmI5x4A0VAnQI9KrBS0DWHA9VHK6YLqH/gI6UO0gvzGP+5h
Cr3fYIJK9mT+4xOf1IYWmwpwIxDjfdC2o3NJkEVuXAXWXjEHAVUdxPEa+uf3w4YFFKe6mUh+TZ3A
gjeN7rg4iI1FunK2CUNHDoDBlk4de/GCvYROfnpSDJcqADbxUFOcH61T+C8GCuno9NezhosGoSQJ
aXrPllsUUX03ZECx3bxITXfEEORlaiJ/I++98uK4PFrkeKm9InZYPFLZ21kEQVd3CSv9O08FcUMz
V/l0+1nmv7JYrig3UOsJh1QvN4L3nyebGsvT+7J3s9DznF9OL2R8oK/AgH5ZswAfM2rWG2OuzESD
XgYajQkOruvh2SQH28pp/9JKvf7eq7M6BdzIzgKzcyhgBz6MOU5+tx9Un59k8aQYFZgkP+g/IWE3
r9E/5n+tY1sdDnrndjGWJo+pKNHKgeandoKcqXrm9eBkhdVoMwNkfWrcEL/Mo2/WQTFD4unN6YsA
55AwTSPt4ENU9D8MdBd/6cOJOtcs1Hi0kjLDtyAOCu1z4BPy7BDjz57LMRvum465SvxPwVH1pjSB
ll9iNowaIZcIrVOfxIBiU6Jr/2Nid6ncBfl2c+bau2dOocsk/aPy5d+/BStwdMsom8aNIn385GHo
glEIYEHkLI04DeSvsUbRyv7j7be/Ms3m0hxqfepz9N3O6/ePlx9kJQA3A/26RhPVc+JDP4cLZO1p
ebVf2KyajQ133lWWH5scJbVILrhzk+j78UiBtQTQCMmxVTVf+kyrfwDuCvZQEwCPVs30A6FNuYf+
lG3Ms5Vly92SPcjk6sCbXkwzsxB14VXUQFujBoMGZOxs+uZwvv0+tZUXygisonl3gBm2iLDLyY76
spD0qIUtyJLG9NT6IiNNuLLopc+EzeNph1mRohwSMETTvVkzJz61mJDGOxyVveZn5WMQcGKj64Cb
iUqg+8mV/ovAjtrY+L0r047dkrra3Lt03VCEvQjexVVEEQ/cA+VhWTyPSQJ8v2v0uN2FlZe4+dAk
zuH2e1obly0aPQGSZyGWopIi0gHHAPl3ldwqLknbhC9GleMJ3MXaB47JGiBrFb7eHnTl2/zOjZP5
m9sjl/X9rhsgqs/9g7o9FRASVdyd7M4+Dm3+6uEx5d4ebmXG4fNHcZbzVaUqvVjSVRarRod1pVvX
LegPq3OwYTCKZEuesRaaU4Odo02aDBw2iveLajJLyoGYWLomWujp0Pt6+JaRYZrRvtmILXJQGa4G
v7dDqhGHn1R46+LcGaWJ8bkwxrfbz73ybS1CGp3PRPCG+PD9zxm8TIEnq9ZuiMUmdt5JaL0UzONz
04r8PgYzJo5aEuR/n2iZI0WWhT5/26t6zxTHakhJgo7CDhC45+GemMR+fekIC463H3ElbgS9TP6D
uy2JluXVY3RG7qphUbv5FGh705farqxUZ69GYXMa9MI7a57anELW0inATO/z7eFXUoUak4pqEnsp
OYqloCOa0LaHomhc0BmTdxBWC5Iow6bgOQRWTZe6BQgLpRKz/aiHiUGWNdL8r2oA+XdjR1+J8Cxi
SCJY+gVRIyz21YFbNqhHOneGuB0PEo2O3BnK0FaHusurrRr7yhJmB6eDgXWFFG15THLfRbrV1PR2
9TmKvSZoL1yz2p2Dh84BRH62ce1dezqLDZJkBl+bSPn9XA5wZit0J2pcQM00bZeVjpfQkI3+P3hy
1OLD7e+6cjpSlOV6xkHF1FqORkG/gKJYNXSTtc2+VTSg/KaWu22kKSdrgBA8aJb5UkKD2tiPTcGD
vD+YSbfMYTOPOddoF58ReUvk5QkNRHT4xSzVjlAdo4c2nXakMVRKYLSOPE2J3X9yogAjxdywx6/A
v5X+gIbPI8tu2548+tNk25CgCxXLKNvrAej1TY3Jw1QO4W7EQ0E7QIMqqmPdJ8Drah+xzNmO82Gm
qE8QQX3d036lDt4zMB390dpZXmF90opaSXYTLLMnr9XMX7GlKcHJHKgauDo5k8+570EC7qqsRehR
t5+cHgDFyaFRAwxgYyo6H2/EnLKzeqeD+idjxLyYkR1MuhKh6wRe/ysPANy5NO011h7fFzM7VLAm
vb0mQ5zidmYKdHnvl4E0N6bZ9YdnKaPlJF2mcSdbKlxkNNLoB4rNhZ1dGJ9mEIPzC3utNjjDR0dN
EqQVvSYR+623I2QTW9K39R9AXETaQtWuJH6lH2DpZimcx9Jooo9TjbYGSnFdPvpEc2dqRtET4o76
w0hH6bfbs/56TRMvzSUP4g82tWVNLqyptU2xPsFc5kxQLTijKkZyux6IymnsCYtuj3e9pgk4CAJ5
1Vx3oM28X9NJbAUlbj/0GRh1dgwhmB/NSv2v6dp+f3uk65Pw/Ujzovsjuh6EyEJcK1S3wQj92AxO
iwFTBwSfM/EkAiyAzGEsz7cHvQ47GJRVbGvE86SiFhFoE430owc8nvBIovahbt91Q1xtBDeUiK93
DKLo3zlr6rdXG3+Wjn1D/mSumkdZ/6p34G6/O2Ue62+FRVPFvWoEoj/TbYaZehNW8MU9ONdg4hMY
i0ejFk7pEqrEpKQQr0W7Qo7NdMCMV2D5m6eTudO1pih3CcZgM0CvKKL7yElIivsyLlr4O2hrD2w0
benWhZF0z8QWk4D/b3c/C8OjMzYIywb2dOBNCvh/DXvMMh6s7lAGNXurVmsN5O/Ew2PYx82uo4tm
1NtnJbCIQhF1B8NnJEHKFxlGsDH9xG/9e7OzMZXDZN7/5Ukrtg5GAa32ULYhlUdDBvVu6iEP7ifM
r6Mzef/iiYp2mBzn7NIEtiWUHwxqJQHYkSb7kRMkngzT015sxO/PFT/+XvQOzqV+4Ku4VWISVh+m
iVQEPO4oKh9oaDZJPMN8f9UazY73AR5kA4/XiKe+0aboWz1hT7cjM96QafeIBTge06r4bketXf3b
JDlJUZBfTnBvQg4cnyZViV6bcQy8Q1nWfX4CeeqcO5HpzQ9MccJPgEPT+CwldOiLjXFX/qzmLJkf
GTmBiudVCh9bRlmj5Gom8QmWPyyvum+j5FgMRZs/RyWtaXt1MO3wTdSkR+9qu+JoUXgx+l5LKwHV
0Mw65wL43wtdFi/0kAm7DbrIiwb4fFxp4x0Wsba9zwJa8D4kDbIsdNEZJhI2nh/eP7KI5F3TCHy8
SI6T3tdJ935TzKruSIlr8fA5mQrhHGy6X/QPXhgZxZGuhzTeW/Cb7dfeR0D4MJWoCF8lDO78zY9j
RdsJq2ouegV/jXS/ag07I4IS+qA0nt/vhqElupooWRv31RQa0cVP84r7VI2SfAcUWNFwwh5liOf2
VNYngImceoldUQNQI1MvvnZ1aPVfa1OpxS4phXjzSz2o7/Mww/vDrwOARgP7r3oZcQsdcBOZwzmn
0fMPpinZJmm+tNQTlhQqQEcJoHdIEfke+BBZdWjIxIcAaKVmRMemwicdNd6U3Kk53sf7qTDFd6z1
PKi6GOihlk2a8QUbLbz1bB9TKgdss85/yuExT+OxBK2ZBe0+RmDxr+dVktxQnEbFfWY7w0+ntkLO
qL7gs5OoGrBEDyxTca2GVoVdgkdriMsoMc4xwRdC7rhBYMfH0SySfd3ZjYahtq3/W5noII5Ufqjw
4x8KcykNmjo9+KJSw0M2KGF60dJWS5GreeD6w8KJXnPMi+8lfm4UxW0veVHNRppHO0KrfkdfTzfe
FY4W1idrsjyXPTjuP3CTCB/xGlHzc9LLptpj283CsoKR4uIQjKn/oGpNr1+SRO0/JZCXftD8jquu
kQAg3U+mbIND33c+5jmFEkF9lFUb770aSOgZv4Hpcazs8p63xkungk0pq6QEle5GW8204xQ5mDwi
RpHt66A2lfWTdo8WC9q6xe6Lc8HDrLoSnL2jmc2meUhCaOPiyPqZ4e6h/RiE2r0OYZM9a4nQvpi0
yfjnMEhCtx/qVDuMOdZm6BbLqjrzJ3S3s7l57fLKpGQDKGgreF2px5CrnCuY8/3auUq/2nFhhlES
2q7XhH5JNBfYJyMVxpsBQO5TbIz698I0k8eq0KvHMPTtU+0L2e+sygy++102eEccQWHUYzOgbdxJ
V2IMkEEABmj6F9elfkWGwh5ahVZ1zyv3TPviNDjOcJ+p1Xivdpn59yc/AEAWHtlvNNJi/j1/nPyN
j6FdU/AuIu6FLxU+GsOOUyy5eMzlYJeF0vk85l77+tdnP/pRjQupSS7xqiyPxxCI3Hi0XAcoxYFL
avfgUbc73R7l+vbLKyR5h+6dPJe2LB20iJMbx9MsV0l0J9lxKfSwk456/SnDZ/61KoPs3jCL7gFP
wf7jVE3lj9s/YCWCA3AlSXgIekP0ZQoehl8kmoq3i3lMc6h1dIiFj0R2wB3rcnuotYmjo0EkNJ7v
t0vRgUpLqjq0gmclObbzMOzmSsahAGbeedJogdq6iF1HVXMCXpI8BEBwFb2JqK6xLdAtVxPBm+HL
8m5KHPnxf3F2Zj1yGmsf/0RI7MstdPdM94zH9ngcLzfIdmz2HaqAT//+8MWrDI0azUkUnSg5SjVQ
9dSz/Jc8nNWdJ9vIEz2OKqNc0Cl0p5aS4D9blBG5nhFOwN5FMcVRLrUnS8jp+fb7u06BkYtgfoFX
J7QqlGFerxJOtt4IbXTPVqeoD2kaKfiMxg4vsa/vmQhUgdTZPbcXvd4f0MUXjPxCjFioGa8XtWeM
zzNBQ0/HNQlBRkwdGCBbgNKFdvxflmJmyw5hhrc+C5h2NKEqW9pcE271aEEafmxa012RhvHOsbv+
YLScgCoxE+VsXwFvMfVKYhI799zEAOwXQPo7st5mpwdxveFZhVEA8jSA9eiyvH53cw64JpWmcyaS
h+oR0GaU+0ZkOdhBKRiuI2aJWvfbX6IHAp9uKd1obpHXa6ppx2nAwg1BU33JqTgFWsBFrAR238id
Wvs6egFbttEXRR4I2cj1SLLrurjHRcc6D4tlgY8cTBTfSwzagb5K4MyHcTRc/MXJ7HDXBQV4YOI3
tjvn/G9DZdVw+YuQ4b5knzJue/3MheNUiHm59lk2bqQEWDlZT8xpLTNgNuG9QEhI/0AJtHBnBDle
+wtpow26VpY2Th9AFX3GCU59QgNWqe7sUEjtIOoozU7CHTB5wNC5dQ+RZ9ftB1n0+kBBMUXlp0iB
wvFummfkWeAXLuZbdFRxO0AVRwbAE9yzmNuJEVCaGb8Aswz6TvS+3sf0OVDbIuR4MFjWsLumEvOE
DpZz7psyvY9x83yY1XLYecHXnxnlEeh19FUgLV69X89LRO0pBNIK/efnYWqzb9hyVrVv6L1mYKfp
xJeywBPB19umusMnrvlye1f/lfN6/YkN8CkEcybgNBTWkAu1S9I2RNXvbEin1A/gTuzyk8zqdnhw
S1qkAdBqrwhySqQXgZ1ph22Uij00zP2k/xajKSsPvYIl1T2ENvzCVPRbm4cmlY5xnBSJSZGGn+Qe
Lfr68/BNGDzTh1zmwOvzkc+OUrNpTJoW2nxMUq3ASQwDjdsvZyNEL7sZ0Sf6Xhz75Vf85/aROH56
beJZ53JxXO4zhgR+nbDD5ybX93SLlrO0+hAGGn1ETdrGC63g9WIp/it9pEKMUKiJg8Ebp69ilk6K
2Uo8fTBJUptgiB31MTH6XVmLjfdp8IQMZlS6JbzS14sbqoiMzAZn3zi07aLJzoJ+svYuhw3yMthO
JNPgyyL4ALr99TJoonRO2wzuGbXa/h18PB5vwjD9Y6craNJRl0wKjTW11xuqdA4F7JeMqiArFUNC
9FcjDXN7e/4BiQtgG53XiFNSpVrlI7DQF/jozCX2IfT086Obpe2l7oF2B5imJu8aZukAkbOh/WYL
Mg68pWJ3EAeH2189Qsbzfrlaj9oW3rjGk1dQ5VP+6UoVoN+DE7cxlyjdYhrhvTnWLFL4S0MTADot
sXWUFUXIP0zdszt0+RHzauPeAIbz9vsL8UdmIFwsdE/1VZJTeWpoRyPVRQIvPxh7J8NpoMRXqZn2
bq+t3QSjCVEx9a++x6p5KfScWxRXS/LDTj3QA7cOMcn6Tndv63T+d5XVA9HQSxvTzHhtejKD2qmL
UzSG4iXFUGhnqY0EkSwUWY0Fhk3msfpCoUzyOoti9zyomsR6ecJgktiNyyW9oUevYVgPVd7ZyRA3
shwYTBzHBeLu6msSUzj32I9pNC/NGBMaK5/lSZV4RTJQGI8tTkofboe7rc/GWMfBRoz9dQULLNR2
FKaUzjnjXT7NuGsHgM/cndRm610uIzgiK6kb+/h1DPByEEOJQJCNDqT3rcLg28Oyk74KnmeXupPK
GQMpsacrvrFZoNiZC9WOpPTqwnBp8eUtmcQ5H7H6SGolOmPyhlecF7s72fbGZyN6M4ijyIV+tq4m
iO7g9ErVQ20qLqk5M0v/pRjK+MSUJ38HpbLYAedtTFoBySEBDG6fm4Oh7+tXOmLuEOFDGJ7p/kbv
0Ndy/gUoaXyhP+W9jOAfD2XWExDnzDtkemF/bNIqHHcy/+tcBvAPktwofdiAJtb3F8lshSJcFV0q
m9Y6nu+pfJjTaUSnBI2Cf2ISKg/PqjiLA08vI5J0rayTnSC38e4X9Rt8pMjeULtcvQknLqBSA8I+
95o6T76nKsUEClSZ/pRzSEiN7bjaid4b9zYtGx3dLwAFyH6t9rNpISAaj56Ch86cnEfwGx8qvPIC
kUztfRI3o1968ewLKoq7N59XeO0LKhP6i3H12WVUWLU307y0nN75IG181LzSy3fO69/gtkpMEGpD
MIlqdckSV5d2CpE0mr1GwfFgVDWc1lGkEhpun34mwRj4wLnV36riZB9SeNGYWnlT8l7FbPSHrs3W
/FLEWRr6NslhTNVkzeNTlRRV4QMxR1q21hpbCzxF9DizREqinfpec0L8mlIV/6Ah8mh0Yi4/HwVk
1scObiV6JUOuSQhOOf5gsT25mKlPicweRc6cwRfg1q37Ooq0F5gMnrzXQFcz24iE8dzJLvyCTk/y
3Ldlrh8yrLm7I6OUuL+b4MF+nNG/wmBJLg7gPbU7SPWpMbGdzRaHYZGY4yc7g78fZEjwjdimD9p7
HCds7MqsIn8WZVzYB1xTyxdBtobDo1uTafShgmOVlQArDdqxaIFjNr3THQrh1UXQY0Nn+32k4TZn
MR965poRoPuRXBn8eBgbZjnVWH60qhjHJrwYMA93y3zUP5QpkkNAxg0MU9PMnS4lxeifwur1P0ME
wLueeMdHGQ3Fd0QpM88faWd3gcrg+idcY+OlLZLiJyPN8NvQRu0vN8d74ZIO6fwZbhWmeC6P2iK9
MbiPUGkhcqWOkp+wC6PmC+kPYYuJqFQOtS11zc+F4tjxzt27EbmX7BsAFoPnhQb+OrhNg9sZ2jAo
8M2TL9Oo20wHWs09mmaZ7FyAW0uhI41IBnk4WdIqo2gwOOZnkKioZTl+RH6l+lDisnVJ8HfduSQ2
7toF0qjT/IEccHXXMuBLQ0zk3HPPxOQ+w+TzaUoxzLodITbCobuwIawF5Uclu3p3NsZSGNc77hnH
EuUrH7B5iBNPTWCqGC4lU+VW4nB7ya0HA4cC8gdUlUrysvpcaRelDPgo0CdkNxRHiHe5Dnf19ipb
X4rcj/dGe3Dpar1exY2l1iTgxc+y0+ZDJorxYA7yF3CybGf7bT4PERbO+sLJNZZr7z81oGkruW3H
PI+DHfU9/pMYnNbh3jx8+3n+fxVz9TwKRNAyLwGi0ezMgwz1izsGR0nQw4G9v/3qth6I+4q2/yJ2
g8zB6wfC397NMPOjj6XhUt/R7vq3U5z055tX4f5d7PAWctpV/wT/YzdX2tg7R50ojsZQTSetqsq3
nyI4hCqXEpg6UsrVa0uRfygwufNwBUhcjQpNht49rtKy33lpG9+Hiokm0yJZushRvH5pvTqHRdG1
zCzqYXjJZApQQDdQT2OK3kQ7SczWYiY7DXwVmK4rPoIeCtovPYUNZIzwAMseFG4nRh9XsT1PuI3k
xQMKjD8aIwqHSvf1c0V2SeaiM4vJaX8oAf6ezMfDzE0Nf6qUugcQINyfZYwbnkbd/fH2JtkITygk
8+kocUid1rEiNlCwKmb67phXF74yKTiCyrg2YdnW0wu6JtHOZ9x6XNCI0HAZCfHnau/POb3WFHDG
GUGI7Be4XwxvRRfOB8Z9+ZOSg8GEkaE+daJFH+/2w259VWgSDEgRmqLjv14bdbJkWKor4L3zpbeF
Rapjtc474B+mvhMfNw459C4DrxMqAjS1Vot1BJBwdioHVF5kH1vDK57cQs93Vrl+JFQpmJowwFh6
pOvXKYwBc8WuC88ecId7kA2dP3Rx9X50dv0/NjhrKBqjP2bB0vFojK+eCICpxpQ6Ds9lQ6PnQJU+
xYelbZTQxjDcz5QUrQwwjrXloeuLbgyqAtdz36zNEltc0yQ/PDpjZ+/BbK/31PLDaBLDxYCzthYB
UVEYsrsyWfKTOYpO9D2znwiMmicciLUamb2uNwN9itrEzytsUY+3t9Xm8guQiskEwXZ9hka3wnBD
1cJzMgxWEWCYPQnkjUB/+krUVQ9CqsYXcJF5cuwlymZvzjBMlTSPxgia3YSrVQCpWkwx8doIEQaH
9WMqnnco1Vocy9Aznoso2xvVbdS6XCjU1S7qMdS763KrbZuGyWoVnlUD/3Rh9jBKUTuw76YBr9NB
69WjpaW4gNSu/IB/MfaSpqyfb7/0rY1PwQWChIapczV/wmlBdJ3XKud4lEYweSPk2bwvj3rpWDtn
7PokLxcoLVNixkJlX71gJ+vsqJKVctZHLCrMlHra0Qvjf9hFzKjRSePiWaTKX98DztwPdVm6y1tN
p5Oq5dg49mV6HDOkpAasUw55Jo1D4iDiePtVLv/l19Ul9zcuEYuYJoipdZMrHiDmhbMZntH9tYPG
Nsx30dCUgasq5XuFCcTe7bqhlm3C/F7OKmteT3txfjMx+uq98ww8ZKnbikz/jkJY1DxbYraLU1kM
5Ren743PnSjNPHBwtHeCMnSTCn/qqv0joO59NKqO7s7tl7EV5cBDAqpedC1Aci+n/T/ZppW5c662
NZCM3MqKk5BZ9km1Ux2xVtT5vshJ1eoT9PHyu6p4kekjjV9+NBJHbw9ycNI5aJRay3a24HVnBwgq
6Qinzlr6TKsf1WWLGkrrOOc0UZ+noXiskCG/S7zOukyRlh9JD/7FY3s+RHmTf739Rq67hbwH/qCG
QTDiyg/QLvXYsAu6hZFmvxvK7JDFbQAQKX/KqxjYG2qb97dX3DjboIPwveXadJmGGK8/QRSJTDGa
xjt7YQwA3FPFMc419d9am96ObqCzS1LJdYaqMTfI66WGeoLvxeT0nDiFHhhKOxygfPU7n2/zgWCa
LJNGdLfWiUeWGCSptGDOwPQwM6Xwo8KAavhplgbFxtvfngXNnf8Mk0LS8tePhAaVboYjJXRkAyoE
e1oekMSx8HkO92rAZdutIgdgbAIW9x4DzPXYRK1grbvK4J0LyxqS+15AIfPDEWsMH9OpsQpUOwGJ
rgs3+qRi+bh3WDciF+uTZlET8D9rgA+9D5cUiziiusp8cCEGHGejbw6VI/IA0tqevvfGTQAQnAd2
GNhCZ1nFaPinujYtxfzQWfIdxZCJqn6yN/PceiqaLZC0SMi54Fb3zSQU5gAUJudo8uzkYkVa9alI
DMKwWjvhcERs6O1Yd6KwyzAXSYINZIXEUrLTI6o4Rxq/dbVrH+tiDt/Ricv3qJ1bZwF9WRRhaLxg
aLJ6h5NSDJ5kj57HWpXIu6J33NKTDFTEjXe6sxtLMR1EtZvx/qILulpKnUHAGJNtnGMHFP1xlkw+
aJlZyp867rLiePvcbd0ctGahWS2BC3WN1XJZo81yRrnoDLKz+SMLAzEwcMdq5qc5NfLdNFfV+Gy0
ckZtP2oRiBEe7OlDluktXdgONutxVGs137nfN3atCzCGFhR7iW7NKsYhgNJkRQSFPzeV9susRl9G
q1Sebz/9xiLeUtZRviFOdTUpU+PQ0PBrts9arUeBRqfwrEyg+2+vcn00loYWaBxw7NzP69SzCxtt
MBfg4uBW9UfFHrwJz67EBvwypz+SKTJ3gul1hGPBRUOVRoqF9sXqLGYoXTqdht4ePL7wY2+bxWlM
vPpTBTTIn6dYfIVrVAZeanU7Tf/NR10ufHp4QLPXYbzTwt5IVeEAch+nO1BjNcMkww50CLdMIo23
qyKg3m4x5OTeYBB+FXUyz2bC3wDLDcV4V42hdt8K6bz5akfuZ2lG6QgSkwOu9uKgI7RJj8g5Q16G
56Ua0WPZzj89XVRvf3+oltIoWnY9E/fVNWg6g8h0CSIT1Wz9SR88YNF9h+5sq2inWU2snS7ldZrE
pBEiDbp5TIxR3H197baOSGMb5hUQAsTPUztpjyNKE4FQwvGipOYUINzzVtdyE9zQwsq2uY24htcT
P4AZnj53NTPV1rMPSYU9CBuqPi4K8J9vH73rAw5qEfjCMmHzqFNWXVjAPgPrj+H9aCfxR9HJ9uzW
mtyz1bqO2csyXLEorvES16zgyejRuITbd1+5plIHiqZVByiJePCqerY3AthcjL4XENrlhK81kpFI
NgmNRXg/qXZ+1w01fkx2E97HWrOH9P4793yVKyFbyVifnIRmuXVFX9MwO3MLu40vyuSCy4yR53CO
6pAhg9ROZv9rKmo5HiqU121fbXO0iAarL3+Us5eWx8ixShT8x7H5UlpV8VuWNJ1OwzxMFZ2GvPoZ
sy5csUY2YWBag5MH6dyAdx4NV3HeGxHfTPejCL9aP59T00HoKBnyoCorFHYLHXW0wzxkUXjgMp2+
GE3Y/JZTloInBNg1oCAFoIPIPqFtvDBaA2K9g11iNrHZysHpRVDLsHlvKTMtrmKOYrwqZ6P4MpcS
kay5LcWfOY3ae3BFlnaIS0/DqV0OOYQPdc6ex9mFBvPGDbu88MVEh8ksncZ1zQQDsShDHJAu4dhF
B0Y95bnUATjcXuVqCwGy5QRyBqm4AIuuwowaK0gU9KNy7sCEfTbV2jjkszY8xSF3+u2lrk7g36X+
qkWw0hVc2Y2RgbAs0BlO2yVHQ7T6w1wWeyCCzVW4B+gnLW2BdU4/58Ngo+9BM03m3h0qksqxhL+2
8yxXtxtyLciXLDqfEC2uut717LWpcK3wzHBRP4ZOnweaoidfQ29IL2Y7JnveBhvfiS43urkL8I0L
fXXxMArr7BmP4gvG3kjWdqpzF4LF8+NY7FVF14BOHg6reaYUTDEX7fvXV0GlTXoDLFM5z3HYfKay
NPrD0kx71Pp0Fj7NDSEOST7kEqrjLDkqsd1fsAyMnlM9HZ/1clQ/jZbRxzjSjcrgV5WeukcObvmT
0XO7N/ra+OREJXRWlnjL51i9G22207GHynZ2ijL9qLZD8h1ypbojG2RsfQKWYNrBGBR4zuqG1KJM
yRvbg1jlKglD+DiSHneyQYkxtXDl7jMxurPfhQkSrROuV8p9xNAej3Ctd38UiWfEH40yUgSK78L6
ihMQjKkYqSjjPiuzdvKZP/bOUaoEzweBYk8WWLHVxh+1cMwsxGIKO0VGVu+tOyVJlC6AdZD9KEdT
TEEnLPCKKGOWRDgUBo2j5QxNc4oNK6xodatgLcAZzX/oAjdw38JQ33OI3voKpJo6f1EXoTT9etco
VqpZuBfQx03NmGDbTBcjbCCU3o4iW19hgVWjHoTY+VUUEZ0urXIow3NjKuWvwTLid7WWj6ZvI2D/
ZswXJwGA2XK1osXprUsiTSDyQXs+POepyKAdzrpv6XnxCJJOHG8/11WmviwFFYZOFT3Dq6k3QupD
aIRMJ6ZkNANpo/tQZLl7nNRZPHY0tu6UEiudZrTt37dXvmrOsfIiQEdwoYF71R8WMWKViiu9c+MB
UfTrKbPuk4K2ANqNTaC4SDLqdg68rrDmIyj8aifz3No4oCUo3BGFIuSsNo7UZpXrtPPOVhnGFxnb
c4AaQHG6/ZRb7xcEg0rTFukBGHKvtyd6mbOwQsU7m06LxB1+NOIut+L828Llu1cU+aOVThcAyntz
x4D3y8RpuY6YcpAbvl5ZqQBv4bQdni05G3d1a6h3Iygn0MV1+daOAfk7Z5mTwSyN3svyqv/T/O1M
gcLfsl9Dt80eS10tH8pmcE5tLfYqy42vxlYFEbKIGV+36aalRYfmSnRBUbz7pzGihfFZiB35vo2v
Bq1qqUsYL1MrrN6dXcHmGE0E6AzhZn8iXci7UsCwPdat9L7PWmEQ16wyviuyOtzZMVtPuBB1/sJ1
l0nR65fpZIrr9kzBLnU1WHfw7w15UE0YV4fbO3N5hteZNUBnegEU6Myk6FW/Xsfr56xkbBBdZth9
R3Dm93Mhjl7Sj/d4muz5am+80YWqBk2UVge7efVGJ2NKTD2Okkts1M0xzx3vVA+TjamOnX42Gr05
627Rfu3hCO1szqsKc+EhwVDh+BHmGPq9fs4xqzxEKNvkkttg/EZNWHd9nmcvMGaNh3xu/8CPD3ca
Ln8j9OrlAuZEgAuTCgZT6wg+FTYwQyfPL1AT6vBIb1lBQsitos53pDuMx76rivTUJ2ll3Iej1olL
AaIN2JqIoy85fr6jP6ES9wsmv275wkzK+kjbH+cQ3RssP++qrvcNwTb1O1OJ7jRltA2/9VrLJYxZ
6vsxNrT80gq7ry9d3Ia9Xzk9pukJ6pf/usUEl0DxkrOoh1b368pLnsDWRl9tfHe/hpEq/ySRik1X
1ID18uPe03+Bt8i/lZgVREcbMaD4ybLw4+0zy3xmQDs/OWxYyPqzak8BWsvNy+39uvkdOffUtyBW
r/q7jVdqg8zRLKBHztyrmLVe8wvdk5bfFVFt38kJ87ZghBNs7BzJjauKopqF8U2lR/GXHfKf+IZe
S4KUeRFfUmfI+7tcZBE4xi4yrecq69p3bHj5UwEv/Z60eNAf0XZlrnX78a/7pOzjv3tqyccJTqv7
KtGMfJBGklymNOuzj7nFtQ2ekYk9RBLCkj+gqDoHCu7JP2Gojx9G/IrUAxzfLg60xhGfZmGkyk5F
cj3W5mehbgjuHuk/KDKrcGWPMoy6nlBZlV0njizU1YFoapgtI0NIzfcKLbHuNE3UfdBNjZX7Vmeb
pe/mprZTVW59JyDFCEoZTHKukCrmAGCCdkB00WHhHZYx5zGtp/Apz8FYhYWNP6tSlodkhHCYMTT+
dfsTLY+6PvQAFpn7ofd4XcCEk6hk6xXRpTTbxneVyXoMSap3zsFGJorAOEYmoNTYlOu5+uRSAUK0
YpWIShPYE5oorHKSzbwXOreXWoanjHZBa6+SF8rQzgm9jCsi071jP4zmRyPV5AENi2YnD91eimY7
jwUHd10/19FAFpNG0SUtZI+zlWoeinKe/UEMe1PhzS1LOYvjFhaYC9jo9Y3QyjwuK+wPz3mZ2Q/o
zpRHJTSsF0Mpu6cxqVAIU8s8UFEIPfWjBtPLCPN/bu+VzeMM4n+hUC6MwHW12+AslsQaicygTc43
xpwJOXDT1u87NU9RMsEytrgbMzMG050R3t7hp1HNhyoy5LfK1BTP1+3S2DOk3gqy7ODFmAKnpSt4
qpoVs0MUiS7cbeInUuwjUPY8Uj87Yd89IKkJo1aXGMHdfht/+5Oro4NoFJUI+The5Kbx+pPgOSmY
ICrJhakLGvQNxik/K3DpP6pxUr+V+tA8i8nJy2c9FRXKJY06qD5svxR9nbylKPX63nlGASf9PCOj
m/uFMys/8AYUZVDOg/Zi1N4U+0nZNMJXDamYASo22nBw7Xiiq6DU7UlUpg7n2+NibWTdwcYbUucT
ngi5dTHg/mE1Fbf41sZz3H1nfFHmDwWmh/9i+Suo/HOnPuII9xeqjsxNgAJQDGx9ytPndGqaf5U0
qWRQwQMAII/eCdpIRZwax6yswo7IOFU/OlerNB8B+wZdttQoPlAaKtXXzrWqBwCinfEpmsfsWJjd
3D003Zj+auLc+p1Esfx354Nch7JX32N1ROpocqfMYHdKK/uhi8Q5Tq3TBKWZzfdvXgnSPZB1WJwM
ONcxZpgonCR50GUyAb1ZAt+uUgrnUCaj9eH2UsuPXm2yZa6xeGUyHnLWZUrZNQgwK31yEZVXPfQz
ygh21VaH26tsRDLUP6mFmHshYL2+EB1AsFgOjOmFlvjwxQyz5Kn0wuRU4p6zk2Zea5MClCTJBNkC
mIC/WwVourPo+VpRepGK1/zopDp/n2AW/qOi/fJpqHv5XrZ18UNrRFLfJ2os8VmSxlAfpemG328/
90bo4N7lzVLWI62xnhzFFghj0ZCfgH1rn9x+RoMIa5YTE1/naFWp/tWzcnvnk24UMa5LO4aoAUL1
StCj9XKlbCotvjRobR0hI0DuQAD5KRraPsDDJPr8PzzkMoijTbnBFUOYa5gjnvKSJgk9pkWt/FOk
lQ5/myfhN6b/4+ybdKGMnQi5tXdd5CuZgQAauULcEAuRdmJme4kpdxPfKN0ZO+rYfb79fNcYM3YU
9cqCS7cwn1nfwxO+5L2jT/GljUMoygAExYtq5oh296GJ7Fkd5R8UOJi/mjIcz52oc6TWOtxZj7KQ
TdD3aqqdmlk0Ox9661Qt3ESIDGz2qzlhpEOVaIeY7F/XsiepOPJOhq73mM3Z3ixt41UvgnsUi+Qh
S3fq9V2Ux8Iuq7qJL3os1O9OqxunfoYFeftNbxwXD4FZeAwECzzDVkcXE+vGmz0zujQ6F85ozIdk
CINJTacgzKBcDShYvD0yAefgmqXlR4t9HWrlWKK62WNlWlp5fjDtSL2zNQbyNkIuO1F941yCrUV4
Hs8FVlw3FxATSxU1l8mlnjrlQaTu8DQnqTIFOVl/fyqVSh92TshGh4GicBEoXtA/DJVff7YaRK8W
aZwQ1cjbdw2Z96fOcacHZEXVS5zEw4Nld67ChC9VhuPtj7mxO5dDwzxrOTpX83mhz7ZTqDZtxNoo
7kwn+SYapfqgN83v2wtt7U1cJeCmgF4HCrDam1MGykgsx7NCa/g9cKEfKnCDnTJqaxGSftDKiHvQ
RVy9yRBXRGOmEXHROnx2RhRE42NsmO0eDXTrCHAZLAAYUGhXm0SxtDKJex5m6MWnhjb0HbNr52T2
edJCZFTrIGnhVu/sk61vRa0KUoy54zUO2y5RYsGpj0iimOGHtpZF4Gr4wtjVtGfi/DdarjKOhf9O
Kw8aFoF1VbPD2DC6yK7zCyTeMTzpQ9ek75HJH/60poXyI/QRFNrGPjIPBv1Gx2eG0X+oUZsAPDvH
39JUoCbpJGH9owMq9EuNouFTmfdoLhalVTe+9GpnLxm//vwWc5klm0CuGFiG/vogcYTMbiqm/FIb
LlZEQ6gd0RqudxoHW6ssczN16ZBdz21cbyDZdSI6ZLJMDim6KMepyeo3H0y2sUHXhk8NkfsqKAzx
GPd9gyTjbOcnNnx+17Zafc5a2BZvPZoMa6CTLENghjZXBV3rpnonZXpxFLD0dd7Vx7Yq9gSkrs8M
3Ck6QBwXjWb7ehpYTP1QRH2aXtQe/Vdf75u5D9DHcN6HPZNZX69HrT0KICd7UIy/NdjrzcxEirRg
mRNBklzPgm2KKZQlk+ICPshYEpFOdwOhD+14qLEFif1Um01PUmRFVXdHP9a2fUUd1R91rg+fS+RB
xUGmA5RKblObYZPoil9N0WuYSDURmoYxmIDo0auSGPArMPHftCHH9xb6qXYAKcJ8b3px8txoNnop
je61ICmqwhgPc6/l2P71vWsf0So1gJTHkT7d8b3KKUjyGeV2KxRuDoO5M1sY2lrRB267SLPkXWEm
QVWr5j+zUUGXFp5FyEmriQLQzFsXMSGLf3x7r1zHIF6lRd5O7wwlw/V8AVg8eEpD53os+/Qux+b7
qFd1FlRO5u0E860Ns3Dt4f+C1bkSyKnDKZaKMSaXEYFTH8Sq/dPMWnC+jmg/wUnBoW3s3ozF5RJk
HkuMpQuHEvQqhIih14wmI00GOaLddxOEF7XysIQbdeUAnLPZOXvXjT/gKhR0NsUdmOarjk7X9igd
lelFcysrPyRZbP5KWzvUFjJghlIsN9DJmbxSHkG8OL/0qEGm/PY3vc4/FrMN0h0M07aEt9I4U7pQ
kH/UaRkGIpyiF3rR+UM3yeLR7tXmbOrtgKwMv39n7a39RLnJmIPXfo0obwFiTbpk7TLPvWDBPy4a
yiaquPlew3crbi9OZzZ1CJ349avOlIYSp2A/hYgIH0e3rO8rr+h34vZ1/oi8NskUqid0hFB2en0H
5ZMxc27t7KIrRVDlRXEX0n/31QZpF2AXO7m4tvH+8BxailYe6VoKI0rzTLEqMDSRPugoA0yRfZ+C
fntx47ILj0s0GA9W1ME7dgXdHL9tMuVRFKCK2iTJg1LBuvDelsiGBSFE9YdUjfbEUv7C6lbxl87y
MsECAsrFuXonY0TEQ9eMuyzCGeBuBv4CEoaJALZMPfLgjxrqguqxGerhfRSOZh+A8xLVMRnq/EXF
gvEPVsDF/GCrSXW2dLVfZK1bE5PiJHWONhS79KCKxIWAmKt1dc7pfykXfHJyEbju4gcVIsQyHovQ
7jKwmanodrbxxt4CaIQiiLOUnuhTvv7qNp2MZBr4DBpqIC9mYXq+gY70jgajs6g4rV8k41XMOmE6
gJhcvcjZSGrucYBGntuO0yVBL17zK5v5GNA8pWwfAHSiuT0kjaV9tOrKVAIjY3zhd9ZCZdOB5RWo
eU0yDFJHLT+F0Wwi6gEjffTHQe1p6XbmgLChcCtfx/agOHkD4MQgjcq8DaJxct9RjwBhnOxanYNB
zZJfWW8OjCJn+2cxzMazVU3S8DUgcomvdnGSHjN9dO1DNChWd+hyKF1HbWhs/SAF4126LM74T9Ua
hRkIOUX3VWXJ3i8STf3e1En4u6hD+0mzJ1wcHECxL4nMjZ9Q6JFI7Euv9h7CEvFmv6bxGZ6mbBbf
2jkuFJ8gjtJCHimpPBYDhNpHJ6I76FdSKu3Bw0r5MxmWkp1mjMbOU5ar/7ph6UhfMdv+Z9GIifML
djNCCwVVdJ/ORqK9S81m/EdrcV4/uRDgLfKCydgrdze6Y1QxQLR4CprsV7fsZMc4EaEFfm67EWlm
eqWH1GyjIFKL8f3SJ3zyurRiYtaX7wqlHw49M5TAcQZ9J5r9razXOw6001JQgeO6BuBHulFkcnLP
iJYY5tGLRFwfmrRr2qfZGxtOlh4n0UPmeTK9K3qyAxTulSy579Kxtfy+96R3B0wrnE6GIdGgLxyk
VTJ0kC3fojXvPjI2mYbfqtYmfYBQEm3vgu3yWR2sLscBdo6RjI9a+D2jItTquR5cUZ+qPpM/i9zB
HgDdc61657qz986eJ9s8tLHdfkgtJf3q1hi8QsYws4L/29jxy/timgKlc2TqK6gJfEuqWc1OhaP2
wMWnhMJkjs1CPkMq58BMCKOXFzEN1UV2yYCtMAFmPOTepL1XjRm7OMdjn+0Ek43Eh+JigfZwzEkM
livmP0Nb0SCeM4+Vd9ZVXHIbvWg8v6fGOkiNPaBkXXOIyXR3Vt3adCyLQAXccgZM6/FcWC2A3VZx
zzHyBH5qg96QWVEdknpgmjVUeeAWXRj0HemoqtfyAdWt9s7opj2I7UY+wvVMOcJvgel7hSNBYz1l
9MEPgVp2kE02Pyn62B+ZRVlP/aCOqNoXzsmy9hrBG5epvmhbIAapLiqkqyjugBvwjHrZ7KpXnsIu
VYO08czTItV4dzvn2mhXclExM6QTwqe+alWMJaNWEx+As5uN/UeEdbD9TV0w2H5nzMyA7SKbP6aJ
QHLfaVQmmRDChuRlkMr83dART2gQZ4Tt5EdJqJZvRpiB+yeLWRiSVNJXzZoRyxW5SIm4Spsfs6SY
L8Yoi51Vtvb5MjkjvkESucJ58S+KYoJkj7dhqjDcAjj7MmVeu9weg3cZh8zBkdmKk71MUNvIuhdm
A7N2C/TrFYIOZL50+iZWzlGYd+PRaKNFNLHwLLAr/8fZeS3baXTt+oqoIodTYIbFCsqW5BPKkv2R
MzTh6v8H7YOtxaQmtXTgULbLPWma0SO8gX+lg9Dva3ShDTH/mIxk+o9Y1H/k3DBcLbNZwbQ31nrn
ZCqh0VzJNjPVD61afJ0BmjHMs1LpbE8t8/uUmvTjwdHZ/fVrNUu6DaR6O6ehnTwqagQ/vV6IVOBI
mWkbad4BElAK/WnWsLGA/Bmd60qRH6cwUluXutjw4IPpLyNeKV4nCemdo03SebEH+VM0d+MVLIr0
TdO76RLn0pGmz05ajGAeNxq1MzDUbfU/OIvVOTGQY+JI/pAuRXwZa734L52m7HNSSMrBJu18yhBk
ViUmuie37cY4a+CU9KwHfSr/mcMwabxKDO37iEv/iHmwuxgNcQsfbBQZtu3pHvF+jOtM6WGehtSn
BYVLCzrNV6TYjPP9l7+TaMJVJzSuCK1bKccK/TdEYnguBsmTpyzoN1ezoR1UpXtva8U4c6J5HN7b
6xuIJySdiktqhBzoSd0s+UmnRXSJSIT8uFKPMHZ7G8htRxccStpOPxUqSos9SPgwFebgG2RWJwkf
dRc1jbc3UYnsqwgY0xgFK+5NY1MPQ2vKo/XRkrl/gpkqI71sY/qVi+Qgvu0+FUBd2ncrT+wGGtCP
jFmHTHrQa5E8D5IzPdC17P4ulNhy7x+Lo6U2LwyzGSWeopTPC1GWsyXbtNbgEn+JwuTNyvZ01rkW
TP5gWgq24fXZsMAAjtB8w4cUS57YHWat9TB7Ga+TRRC5/1g7NwRtEZQQ1oKa+dkaCX/LhKS2V1Mw
JfDNsyE6dfqSvsSFSH3LWP5uhvg/vVPGg4t5Zyd/X9Le5ABjuRjZZCzOg2Im0MNwt5s+VWinCpLT
7ghCsPd8tAvArPxCO29TrmaF2Mj4fTzUtlm+SDjUPGZNpz+WZof67BiNXIKLddBX23vC1R5j7brQ
V9sCWvmHS98NoY3HqpwFZjzQe60W9RwZY3VwLHfiCF6Yq7AWwy10bjfHcsa/Vel6UspKSL2/IMvo
j1qPcZ6eJB6lunm6f1721ltFWVcMG8YB2xkw7OBwECXqDtkg0nPSj8u/Y2d81/teDRJTOAf1+M5O
Up3R6WEMSrq65ZsnSlJKebtiTeIYTWID14oC450L0pJHfiO7S/Guft2ftzzaqUrgLcI2CAi+45NW
GvMLXR/z/WDDNbq/iTsALwMdNAS7UOJgpL6dBxhmjuuZGa7qo45ynuZC8uqp1P0JXMZFUqyZQmSB
WAtB7aXV6v6vYsxKT1Vq6TGK6Hjf/zl7T87Y1wS3wFm6mURpDetXjgq5CtXT0wwB7kpOJ50iOrUH
qJSdzxH9GU7Oeu1x/amvw41oRThaAm4fXmjzU91V0VVJJPncLlF+ajvj/SRV6QH4ZP0ENgU2qADu
Icb19E9/tXx+C3FyV+QI28/SQ9qV0cmZy+wDs4j2QK94dxN/W2XzZLVcVCb+D9KDMNOEehxbSzd1
msRFFxrw0v03tldJgs+H+8rbWt28N1fEEOaL3mP/9gDNw/oHU3TjYUSKwhchDAFSUUd73+DY9tiH
k/OX0mS65SWLBpSsCd/Mcqe6gHCxTisoM25qaa2leE81UrN6lvOgN608cCLnyFRid3uRuFvla6Du
bytWSU6tKC3qKOg0YwrsHBCNbcT9i+MUfzCsY0+hBJAmrXzpzd6OIArTpgFEa08xEEzVKa+5KD7d
f4O7H8Kq+kb7gcb89opAiMBp7RBodIgLhztbM24gZobTYIoMrsiTzhuy+MCKa28PfwVu4DtcT1ud
EMBJymQhkBvoc9TRG1QrzGHZzSyENHz/8XaXWkUliG/8ZVuMVITPHP0y9KNh4HnznGG20cnFQ4h8
20G+vr6O7ecNqAORbggkt8BuJmhtJTfUagi05pdhsGUkV4bsjIhq6hfDmH6nADO+9NH0By1pwIkm
ySdIlpXN8TqYjRMCOohFE8Xj2rlUSG75VjLMBwOIvfBFgUW7hHR6nZ29XgWFfmU0bD51gMdogbSS
/JCpanZwByh7B5LCcVUiwG0L1t/rZaxBYdzqIFkmtcYSuUhUNaBoezErrolFVXsNrUX7jwEZg9R2
Uabab7tZtJciX4y1bzWJ2mUS0Du+5VjAadezEbtVvhT/yuXSdifam+rRKGjvmK0iytQ1dFJIYV//
aFVd4glDNumhFPIcLHab/3RKVTuZ1qT8wQdrAd1nioco4Q2aEJ2sdpTrnIZGVdj+CqNyE1MeLnVf
inOWzaVbVFV6wDXbeym/nP3QbqNLb29OGMhGJ25l4GZSOAq0HxUsMDGCOGWG9MG0Z+gKULL+4NNd
yfAm5SlNum1nylHh0ah4lgeWEumfsqpNPJS425+ztXy/HyR2vlznV9ObVahKtye7SBel7lJgblKJ
UhLjBL191JJIecH7zsFe0oiKT2av18sFaOlR4bPzWVGbEuDpRNLp2UYoK8XfCgfYKDAmwLeu0spg
NlHAlQ+2c3cdemB0wlacybZzoVehGTedAUu+zerRFcZonUds23+8fS9XB0iwezL51XYv4wIliUUX
NDFRSgoYNiNqNQMGZd4bBsjO954TQRPE8uOo3N97QFqL5LMOOLeb1ozKsMvsQtqs7VCIjwy0Gugm
7dGlvJfxUA+jX44AjcU3uAmDIb4o1txAWY3jVZJ1SZrO9iErrBq79bzQxhzL2joVqVOELtSUcaJ7
G48MSxZtsDytLbX6IJnde/KVSAuGAbTmTTO7sqfISCvY94Uuzy8d3QcYAdNRdr775BR4FAsrGJTn
fx3kjByBxBqyygPsCOU60ZkOsEWr/MiE4qHlkgoetIheQN9MrhMP4kHuncYfRrs56Lbs/pJ19o5t
AhDDG5rdaAyS4KO1H3IJJRO/iIEwwAs3ksYvzdkyr0gQDYg4yg2O0yqFyqlGpKU9a0ANbDeTzDE9
+Ek7F4ADmh7oylqL3iiSGEAr29nIwodsTvJzC0rnSUsn5byCB//gbYNJW9UuAPDf6AIXSxUiLpZw
zi05Phl9k56kqTkiIO3U10gnoqdMOoGw4fZGm+Yy1LoGXwozA0EVN3V0FbKSAQFqQ79e0p/3w8be
/oF8Y+tUuvU3DD2HYrrKq9WZ14TiL7dIQ9SlwEFGZPnb77LVqnGFGa3k4m3ngP5EgzZVJCFiloSX
TutSydXNtn4S3WJoZKKxormZES9/3X/EnTuUNJuoSGqC0tIWZ1khpt5jkEuphA/DpR2kNrCtOXoM
UxvrCyQIgqnTjhITbQdH4EAoITAQ8im3Njd3XENvx0iU/L6WSv2U1IgveUmMFgvzj5JyDCLnEAx4
emtuqsXtz6G1seqyGkByUDFDLno50yUfEoo1X3uoGpk7wIKuvKZt5+Fkx/n4YV4cCexJm4EUVZJh
Sl2sONJ/aC9OTNaLpUjOPfJH33DfzCIPvm/7Xe5hnrzvHCFwmQMEdU3r1rY8QQiLDlLKveudkIXu
LGKWIJA2ccuS4jpp6pqWsxRXiMpPVvbUzLVzbqyUznMRd9VD7GQO8586udx/6XuhGQi9DT+f8Hyj
sJobkMhLpUHEW1WT09Bo/aVIwiMUwd7H6mj0QsBWrUutR++3zkJVMF+XR64+qUnzqyG3MjhVTJ/D
2sDipNKyg77iL3T1ptbhkv3/C25OVVvjmgjxANVTqzLpr3eFtwp0v4smAIL8nePqM8ZIOYA3Vw3R
+bISJiX3t3b3oWkBEqXoN1K8vn5onMXRUYGXRsiom3eT5LTnZIlUT2o0w42c6mhSehui4O8wTCAf
tZEM/DVp/G2TpaZLRYxmDP4lAgNpoaP8AyvhZIb5URF0GypeLaVuHq1KARg56SrbbFvlj6VYRs9B
Tcljdqe9dMyp2ePiSCpo7bC/fqc81CrdzMhutbDYvNOGDJvpJu90SlX2M3TAQwJCOdlJmAs3N7vq
QxbR/XOkDgOq3Hyz7/HKGAZRqvCJQh7fFn5ZZ9jLpA5xoGlF/C6elvLJHpp6eUgBt4YHJ3jvZfKd
IH+AvuytFFYnulGVcLIPsijKX7Sw63FTCaf3edWnB/f13lJUhSj2/iJfbFuNkx7NetrmgFtNp/b7
1MZkCKmCU5ehfn3/k9hbiv4XVmU2jLMbepvclrUc9TBjkzmRHmdFyv/tNNH71qxNn+8vdfv10QOj
10AKtgrfbftG+VBIM9cOEGtqT6njtjC0MTpn4Zj5NEmW0/3ldlI+1lvt11YTNHK/9ff89vW1XTon
0YhmLlKJ9mfRlqE7LSFoZKlQTmIYZhBopnbGkWH2MbrKnmpsrLwpU7SDNsjtbUKrBeYBnRAA5rij
vP4hZj7Gohb8kHDs0/dOZTieZlKbIltgefo0G27SSGC/S2EcGHrsdOtfL71eNr/tASJHuSGGOQua
RZY7kDpd3Rsn2ciy58VGo8+t2yURLq1nCMSF0mrBgKlAHQx5KJ87Luae3Wu0o8CxcxtgRYPmBeKH
fMI3kgbTwBBLUJ8HaoltRFl25qWXluSciolyr8jrR010qd8LYfPS2viSVqP8B0d/VV/EIY8a96aG
73QFuwrOSJD1huWFZSt/V4ah90zczQ7ew97Rp9ezumPTlr2BlAg5amghQaTK6uUrUgql7Nmo0fhS
V1ufSjoJBwFkd39JYEhWkZ3G43VzHWixjlaFIcVBmA75WY0VOlzJXGjuoISmX2mhfjJa4lalKvE7
o6FniwVRe9A/2HtqMpkV00v+So39+vChU2+XXQRbTmlS+2+57c13Ys7KM7Ia3aNOBnckMLa7IPuL
QSf4oBsqh6WkaZg7xE3F5mgZhZx/nKW0eLRGKf6Qow19kKrtXboUOsgtoPBABN1EmCoeMq3G6DYo
BpQqrHHEZbCcMKorh3SmtBWh36a69vF+YNt9StAdK/7zV5v/9bbGEZl/KtAcah0xfZ/quHdLKU5f
RiNkWBslR13qvVueUc0vbgzUpu0tqzZtIfelHQdWY+K+NyIVoxTi+2yGBpr8xYJxYJx5M9WyW+bz
v/cfdu8ko+KEpDzMEuL5tqdniIo2vYONZcicCnfBSEHkUlFQG7pIvbmcC2yzArVVrTNGAeMz7TLt
YymW2Doo19dIucl1FPqxsOsQBUP8efOuzcaY4nwaoiBnnu3mCCx8qkdJPkgydlehygTGrfHRbNFb
Njts5zazojlptH/pzH1pkCT8erCnOxcSdTrOWYz56SNuz61G36MZVoscuZQWw6VNRBsxWZL+eZBr
fJxnOgSBbMfWN77cPAP7imiqWwrQpW4+gPl1pThcWnd2OIwutqFD5C0mnuO4QTRG7w+lWL0lqyyT
ji719a7cvoa1VUcQ3TP+ysmznaRQKMVNvXE8aYyXp3SKO/uSDIkuX1NynIrUU+2/RYUsDN+yJ/lR
CbP6n6gfwiezyu3CJxeo3mw/sNqfk0Uh+A6w7KaNOcLDyEtDAlQmReN5anrtHIOl/1fNK/nDVC5H
Qnh7R4XMhYYiOgkrr/t1GOCoWJJA5DlQ4aUHhhoiPjTAoX1//7Ds8OPQ5ieBAqVEtXgzD0PvR4rp
gkVBkae57UKSi/+JQ1P/0i1qw0koQtQMoSZF/6iDpUzP0qwVVzSLWuEtsF+7F22uMuukFmtNAr1z
+h5bJgiB2lYl+2oZud0iKiTmb6D8rR+tSHv5okx88b5ppw3CB0tRfKrsEENRl5mO3V9HFMWcUzVU
+L0Z0FBtd8F8YjyPExIN17m358Wd9ap6BN3nRO4olOxTOdeq+SzH6VDThh2i9qKClfjb4n+S/a+P
4acDrW0j69TVpEgn+DJN9OlgJ3eOLvmvihcjsLmbSGapS1Ytcw9DV561APS2+TJ2XXm9v8rOncTc
kIBJtKI5to1TwkkqBACYu9RpJT+29dg8mmXSBfmSFS+wD784Vah8u7/mThFBWUQoARfCOHE74e5F
3alFxdFHZ6H2pkIvHhpmwD4MkuQgAOxcfkAHIB0zS0cyeBu6uPTTvFkADc1N9bN2bME7zeZPmH04
78LIKYeDJHFnPXg79AzWC5Ch9xpKf0ug59COAJUUQARCbYZAuUIGzk0u0bCKJK2dPOiWcvrl/n7u
LcpQYk2ZKDhvZoO49ObNPIjwoU8k5bSM6g8rXjrXnGukGevlyBJi5/XB32AvYY4SWLdd+sZKOghK
zCeGthrJt6M1evNfG7pXJVp68AZ34hZgTjq33JO/csPXOxrpWh3JzYr/qBoUImRM8cAMagcX6c4W
ItkJDhZ1kRXMvU2AdUjYtcl4tZUZopwble7EJ3N0YiDQTrtUp7qtItO//952NvIXQohak3Yt2IjX
j4ZhrNGhJig9NKPeoHm4SOesThkPUuwe7OLOUsxVgEKsXAgGLJvny7s5jREtA7DSiOpsUb4+i1qL
C6/JDwOXuvPK1jSX4mUVF7vpf0MBNSV10fLAQne5PIlQgY5pLrIhXMMQrekmlJE/28FK/k6KYihc
XRFTBk0r1//LsrR5JuLWi6+1MJdPdaai8TxFsX3WZ1v5Cy6PbXqxU6sOxKsBjpA09t0PRajyv5od
mRimVOn4ycZN68idfO+5SLJUOvu0dG5arfo00CGYpCyoE6dF7H6u/RArkYOIvLfKr94KXQ+sV7ef
l85NZEwRNbihL/m1HpG4cbT5qBe2twqoRlhhJKikH+u98HugipQosTWRByAB+6cEXpbXVf2RueLR
KptwODQsM6pdHiQGUAJtMuOzajbyHxzuNRytvANSnO19AjwfJjvkkqAuZMkbNfpFzN+qsw449SBO
rD/4dT4JVoAggRju/xO3er1toEamrlvSLFDCKGk9qon2FJqF/VEoZhH52mhYZ5R/r5qVxQdF+u0n
TJZP2/RX5xK7lc0n7JAXmvKkZ8FS6iXGTonsarqYg1ga5oPiZe8pQS0ywLJWoO0WFxYjPldSdeeB
FkNyu8Rd2g3n1prsyMtLCPQ/VUugV6AXWhj00wwB935g3F2fOTOkZzJJyGuvdzlps5FJNLvc10b5
qC9j9EL/VHbtzoivRTylL9DY5DOMsu5g5d1NRtQKTD9Fww2vu1etPgEnzsqLrCweHvH2DwPGZ+Ta
an10bm+/DlSB+PwwmGHJmzyoHOt86FDyDxLI2HjMz/ETzLzhcn8zbzM8GANAkIhb8PtvvENSrRyZ
85YQppHUK1Hvm4zCR4egq1wRNsTWJu7DZ5PGy9HQaKelupIV0ANBvY7kcnuOWjkqh07LiqBCguJL
WLXTc56npnwqUAv7GfeG+NB3peWjsD88ZpoUZV5W5lXumjauYn/wamnbwaoGQ3NLpo9AVKdoauT0
NuvPTVxYD7ERqz6s4/jz23ccsMSKEl3zwK3sEyhjtR/MuAhApudoCzvyhxnKuuvkdfe5dYbybIGC
PBg673Q+ENhB+WkdBCAjuI0PnWjo3RZREZSiqs+zGaExoRjT+5FOsz9Y6r9zMziXrO0RZcy78kTP
42gWvHegedOcNPoma92y+W6lMUSvwMqClgb5ZWhszUvB9R6E+90nBZUAlBQkyu3EWdLtSJFDIwsm
p80/YHQqHFdWJyd1c6WOV5T5OD9VfRSfbDMpKreszfHLgoPhETj5NmtcAa2rjT2Aa/smWoTqCF0d
m7sAT5VscWvNGn/UGbRPpDOn6FQq2Z98zEzPCMoKUOgbGlA7oCU8kBesFGLcc2wu18exY+jvZWNo
Nu6QJSLzWlW0xsHns/duf195/fe/JQy0v/E16tI8sCtpedHHxgwwL24POt+7q1Dt0qJgTgf6+fUq
Ew3SqGhCXm3nGGUACTBE5zSJBse//43uvjpAJ4g8Af67EfWN5ZFqw+GKC3W1ORvavyhR/cDoS/VK
B+nm+4vthGCiAXGQHuxaGqqvn2ro5SmyMi0NslFV08/MSbKvKo4Z6rvMtMILRgjVgywP0/X+sjvP
CLWPkRZxAV7wtuXT67POlNpA870bQECLherAC1NaYImadY9qOYiD7s9t7xfxUoQhUbBFO/BG8B1Y
p6iTll6zWY50192xGdXmyZZ6CVSsXYmPi6wK7dyUSR7/r0ORqj8XY9Trn9/+4IBlV+FC2vs3LxdF
JTVj6SSwAUQ/Q2mt/FptBTC5KnqKreFIFGpnbsZzA6RHjxq++w1XSBAQGY2gPGNrAyZZcVj7Ipn1
p9Ze+ktrmViHxBmSS7PaeXjltB5WuI+ZFCnfSevEwWvfO23rvQu6agVvbW9dRNoHXaexE1RxRkcz
H3SpOBudM//VtHbii0HvHpxaid4uPQjeGb4U+IUVaLXtfUSouIVZwdQqisLC15cy91v7rBTA/RPx
JHrnvZZa5cG1txMwSFIxpFl7A7cDaYBCIBiEw6hMDpFvqXvrxVmqIy7YTlrIKqgArhIKq2re6w84
dtTCoVBC8NSQEg9yRntelDn05wLP2vtnd28piHrrKVqxyduWfgmgpbIWRJycZYT/1PQtrk9Z74So
OQscJO+vthcioChBsKHBvyLaXz9YI8Ey7mIpDQp5wqktAd3SAyC4OkvyYwFX9faoS31GewwwEt2B
bY4SpUulJ62aBmpXNA+MuW2/HLXugRIxO6Wh0R3kvnubSRNubUdTsd8g4kpERAZVYj0xdnEQj+Fy
6lHV8SvkhU73d3J3qRWZycR+h3KSK9MsJcikB1JBUlIvpXrKpk752uPDdLCLt2ceQpm69tZR+STK
bU5j10WOk9ZTFqBKT35J5XlSe+iQ9x9oJ81iGR17GW6QnZ4REHyTg6+yDALDHjaz2WUtZ061E9nQ
+jX7PfJhzcVC0tSVlEn3Tb1tD27O2wtl/Q0Wjl9U9qjubTLKKe2REprJKA1j4MAQxa+TkOanlPft
jbUzGS7xvHJx/UJbZ06PuNDr//91vc/6aA2iTsuJvWmPy31kojBok4+oXZu6ptk+ZnbXniLme94A
8scV9TJ/6K0sOfgyd18yHyYtNLzbOY+vv8xe6QZk1gt2v4j704Js+qUrde3Np/ZXY5xp6Qo0ge3x
ehXgpGXSZAhZTbEUehX/lTe2iuVHXSsdBLa9rVSQuGQeSuZ6A+5eefSS09csFfbVdbSs/twbU+1a
8uLAm5rkMyjK8Wz0nXHE0doRSOExqbNVqjIYP9uKrGv0XpFoYwSNKK0PU6WnPwthgP5dJxHiQmsS
c448lpJnJm91c3V6KzlxEQy+OXXJ526JwZog7vjmlg4/i7ELgCNS6xucR6QJUUqaQV4Ymc0McisN
Py7IQna+1LaAhu9/0HsnClYB8HF0GCAYbk7UFNW5hV10GoSIZ2su+lj258buu7dLAPJUfKwAYleS
1fZMJRaD9yWpUqr+oRXnFEnHLzbiwAK9Dnt6rPqC2h5ych6hSKiFBxWEqux8sigPoTcLZPNWSt/S
RV73TpEGy7I02Ue16Cc0y7RoiXxlVR78Wky1QMqpVBK0xcZ0VGdfA8mmuaqC+Jub2Hod44uQlpUr
JSAD/cno7O6aL0v3rZ/UGkrGUAv0HOfQPNfFPCVXWRZa6C6zHmsHAfD2WkGZbeVcUA5xdre9TQPV
26IqszRoZbUIimya/N428mu/aEfnYzfggx3nM0FJhxbYJtiqoaM0nRBpEAOmelcJXUOpDJWq04w+
2ylpkunZNkbknCC4/Wf3MYg8Bdukt59SNIyQpIOjx5xpE5HSPhkiw0BAFpxh/zItQvKsorAO4t7e
t0COihcdU3jyxk0zFUniuOxtYAtF1ogHw2qlK5ph9lGDYO/tsQZCmLw89Dg2O7oIW1TIzTFdbRXT
j+XE9LoexqaTR9YBK/s2k6MBATIOnS9g6DeKWwTtEWLKSJaz1P2zgkA8lu20LCehCH/R7Nm//552
TwtYSaZm9Lno4my2cMgmtBdXJ6Z80eQfqAHN4tRbpdAfc8UqFb+lGd64OeqCueuUWWW9T4bSfidn
PRSm+79lb5vR5F3bnCREN5UHPdtIsmck3WNIQr6tt2EQp451TnGoO3js3aWo4Znx8p3cqCbqoEgg
gwLrrcAKCl/J5U55HtH58jBvYe57/8H2Xip1Ja1TXugtSCTGGkW2pIySqjdKbwLS9BilYA+cJNR/
AsI8gvfuvlTwITCNqHeQpN7cEWqNojotN5xvwlHNXTQO80et1/X6is7xknljRfcAdaro81zGaXOq
wza6ZlOtHfVndvYZceW1+Y+emU7+9Tox6diVUUOvi5bJMnmFsuAoA9wqvYpybA6ujN21CK7UB4xi
YTi8XkvNB141XjQB8Gb1ajppe3Is+HSZAgnl/gvdiTuMeuk3sQoj9O3+RmOrx9CIOT5oBV6KoqvP
oRwe8VH27kByHYxF6cZwFf56zb8167R5grYLgSIwUWvVXQQpp5/4Sil/A2yyXzSlrLDqGEO1fBwq
UXMZ4j04/YPWeuqcUGuvv/TOLA8nHfn+a9X2keyPdTpmiqspM7aoio5qtZdSebcu5ibZCuCxrZM+
17nz9k8bCAzFMLU3uijbzA3PcSbMqBcHkqlhydvYipsXUXbNzNw4+LR3PjaWInRy7YBB3dYahUg0
oY5JHlToiz8r0tDbXgsd6XsySNNZ08NZOfi89w4eFBdIQ6TEYL7X0/Lba4r7BbWOguwbl4r5eeh0
+9JIUY9o4uAclBM72TcuHoBOyX/BZG4frp6rRUDrYwpkR8l7qXTSh6XNzOrC5uvPUOasgLlmgx0l
PMODd7h36CliyGNAGZH7rxv/22OiJQV0o2DtBB2P0wwY89QbSX/whHubuSpjcaUTLrlvX69SaUIJ
+3Wa5jRFY7rAmgw02qX0f+aipwd9hb2jAo4UbDs10y3pCk3NFJn7PsenzUxPiRrXj5MUfaxVUfml
ZY8H2kB7ywGjWFN3SAGcmNePNiI+VI/A6YKyKnS/47b5KxqgN0u6yC6FZhwNsPa2kpYxORiaUQzW
N2mLkWRWq+tFHizo0vuZOoY+R7L0S016+8gInwDaQbQO4fjfYGCoV9BSAaUVyKEIH5VaNKc0Ko4G
yrsPhNgDQxNAUjcqh8Crh0G3aXP1c2R5E73Zl6p2dHdBn/fL/Qh/233lgaDiQOCm537TKsxEBTqq
zrPAbvvlLBEXmYHF9jugs8Wl67rsIW9C+c1dUBZFzoJ8mTh5g9AtQfA1TZQRSBpSZSNSBHdZ/e/9
J9s7hZBS6EuSaTH2Wp/898+4wDJdhTIbaKB4oaC3buU08zmaReNLSnmwj0erbc6g3pQd1wIq2KJK
jKc6L/5Jmyx73/PpeXU3Z6f7D7d3QgCzkavT5kFrfbOco87wKsooC2YBz2AAcuBJMezTqOILuL/U
7pMBSgaqh0LsTQqJD++CoDGHUZck55xoan5Vu6j3kjSRT208ifP99fbCL+ceNjso41vanaYujlXa
NF6cTMnPpPJ1EK6qyvdX2dtAcifELbimb2dctY6VrzNUiMDZwjkZ0HBPM53KazSo7R+8KyYMVKiM
W0gSN+/KpmWcjybhMErV5FyFSaz50rRMJ8SfRXGw2N7bspDUZbBDl+ym2VpFi9VGGrFQimVIiko8
eomFkLO8MK+zqu4IgbIXP0DdgEyFNAiAbv09v31loE5gnpRcY7NTlF/aou9cBHSTc1J38hf0ZZaT
mkhHsNWdRUkSuWGohHl72yyLc1i02donZwO6oMpRTXbz3uy92ewjz5QKzIyHtvt2/8jsrkqMXJWh
uLi3Kk2SpcIxtZY06EqsDhMq6EvOiOict7H1iExPeV6WSnn7OV0FO5lNGsraq99UOLVwFlGnLYvO
XfYylEv8MVWSzC/UST8Ai+18EtT9NMPgF1FbbF+lasW6I0J8CScrVuxzaObNuygDOflQmZQ2B6XF
zkElnqzYD1iRq4rG64Mz4eaRa3FIPZ7l1t9N3IQXMTTdxUhGqXOZtY4Hl87e62MIQYm2ymvfwI7Z
xKUUAotHaHGSlyR4iah6HF21WBXnEni8p8tYYd8/M+u3vWnIr+XAOtb9lRBtXp/a2IMwsWkPmlKp
31vK9EIZa54TC19OK26SyxyV02XCrOvz/YX3XiZrUh4gfXfbl1LKdsgAntCIQ9gr9fDrQfq3GGEx
CdMM/+BdrqB12v7E7Zv21KySMqAOnwSaWcW9h0Z+3Xm1Vsc0wyooVe/tkov+4F7auSe4ALnXUWwH
rbDN+vCcLdaMFzrcOmsxnTJ/tvHgOniBe6ugI0aBRcZHDN+8wNRsoEX19Lybwqj9bF7bjbUoD6L2
DvSM742RnwXxh8Jq+zBplI810tkA+RSSCE9Q931zmlp63/IZpl6GakXpdmVT1q4CE8iPIt2I/SUB
aCJbWn/QYdj/OSs4dSVNr1Zorz9OyAlVAYKR9EID6xGJqvBK/DOelKU0v+ISXn8r0SnHO0oqrjlz
N3/Imv45mlCNvH+M938JndVVzW2HMhY7U86Xq1BQ55nRevOkJ09GKiUcaTN3gi6M+pdWafXzXBnz
O5Sb5ee4xVMeF53+7TxXQBqyw3Fg/ozm0WZXsAY2l7Ki19tm8c8czRmqtrRzEV1VL2MqNX9w9Mi6
iPyE/VuccJR3QFAMk5RSSZePhtVk72KgCgff7k6g0Mj8FVwdVrG8bQMb8Q1zjtBNDwCfjadOs3/O
XdyfSZXrg/tlJxbC+CdI8BmtvO31U/s9VRChPVmlDBm/rep/9LhKp4fC7vIXGfZC7XZxUYJ5aTC9
GOzJlC73T9Le6jR+kXdFqwnA+iZRiRa77nLaFYFE75UBMHCbtOmqs9JO8TVrdPPS4jtwUglkB+9x
b4dpQzLTJxBzt66/7LfnHqJImee8oNUtZ/MptSTbj60wu9Cpqg7iyM78GfAA8Aio+ITE7QlFyYUo
3I1RkC1dH8hy32IjUhRe0UXTZwsNf7fELu1ixXhFugxZ384SpABfLwFuHALzdtSPbcSIeTeveBbZ
CYbKcl76BZ5N3yU+b/ZgY3dudCImPxPqAW3eLRoEz/MKDcY2fChTBzUmyRBPthXPXiu3s58xtz3F
oxx9vn+OdhiDKwMSTWfQA5SV22ZlR+ZdRTk3goxryHRaIoupsLmYRXFamgqHFwFaDPVqLasUeMOj
+TE1+hgKvmGGwpusWvmqKBG2BbY9/k8e47zx1QwrBq9tCukpq8Moh2etIlDb4n5lXcQyRR8SZep1
3IT6+jGsskV2keWI0nPfdtU3va2U+UItleUuQ/j+H8ZFTXxm2NX+hUVtovPSUUz159xJ7GtpmHPi
F0pUvS+hBw7+gDRk/pP2OMUdWg7LaekHPbpOTRUpX1W1nz/jP9sdISV2PkcUY6GmMN5lM7dT1wzJ
RAiOSRwYedhcCpwazmJABy+X6vS/tGYgM4dlDBknka/3X+DOqYGOQAMHxToyz+3YMA6Vpi1Hhlxq
HVcBvpKwN6d4+EDXA30MEbUIomZH2PmdD5P8HR49tiKgnbe5dZNjmTM4sCOLIapPzpLLfoZc9tdG
1XJUevL6MkWl8DoL/JmYquH7/WfeyWLoFqymhcCYVvDE6xBUWSLNoIWSoCFE/tAlVnKW86U9UALZ
W4VOCyA+8hicGjYBvi7wyHLmbB2xiSpy8fEVfpWX00F7cX8ZxhFrOwLG6TYl6xauhxj0ojEuZeEW
c1T8U8bVkbPFToGCthEBm4D2K8N8vWfRqlPDycfuMXaM59rGjyjpNNXtEEzwq3E5mmfvPhbJLPox
kHY4JK/X00acopySJLrspTpI7T7/NOXiaNayv4rDHNThLuZPr1dB2N8YIq56+n2o/PvRLBtelOWJ
+va0Ar9jYJ3cd2ThW/SG9X+cnceOpci2hp8ICW+msH3a8maCypzCexfw9Pej7qQSUKLsbqknpa7Y
QMSKZX4TQ2MHiYR40aC3gdsrBfVWYTXQlgcJkPvb9zcr0S2CViUDTnn5VGGhqHFWgZlLc+zP6hJE
dljvCg1uxSxYNrCASctApSxWMduuKysQSDc90KRHjpN1iBF3u5/spEHZUlgHIkruKYp4u8j2X2sq
eDcqShyrFtIkOXDFEmCjysQAcyxkbOkmqXsHa/Dr629yI1lhQj6jguFkMMpc7MIhtDVRZ1l0C8yy
/1YYecWTRc1HAVB656NtHbBZaR8qMEOllbN57PSaHbV4OuP/yRyidm6tmqaemU+f27D98vpzbS7G
N6MfPG/7Za4A4d6WtETH7LsL2gfHiEI362T7VOLOfRS8i51Z2cY5mx8LcQFa+DS5F3slmnQ1HbQC
iZosHk8kEuN1gkt6eP2pNr4Wq5DPkrtBt1umllGbDmJUBGbcajQ9iQY3HJNp4H3XDHsozo3Nb4Kx
IbPkhK2TLVPGOwgDlPDGoMXRb7GcpPHBnLr6UtiSY+AtaMbnmk362akmcyfkbz0n0FFIG8yUqEsX
91euFfjG4DN0E0NaJwd/yJQPfjzE5UEO1fH0+kvdqjnBE4BMYcpJU3N5BqQ08HOzMvNbiobhURk1
/5DIInVjq5VOvaX6l0hxPlIo4oFs5A6kZCU82F2ycxQ3tuzsxob/A9cPo8L5z/+pG9Car/w67rNb
qhbBNUcJxxNg1U9G5pCk9fFejrLxhWcS4RzgZozR8rFVuZD0KrLy26AJuUZaJAq/ykJSm4Ol+COZ
S2Q+NUkYHUYIib9ff+cbxwWQH9ARsCqM15bXRWUPXOa+nt2aDIgfH9g3ngPZavc0lDaSP8Bp5H0A
/zEuWXLY1WxqDQmW5i0d+gBl4h5qLPfxMW8A+VVIentN3WSX//BwdBzB/CB0uip8g7hED61W8pvu
y81dptfZtR7iaqe83no0ahJYsLThwPvMn/ef7QIOVS8TacxvTIaMX00/qRdfsZJvTllosGkCpJzQ
Hk72MOtbX24eKdMYMQAfL3VxgakAX/TDnK540h2T2ooQ3VSHHbjYRgBg0gPNgIkQEg7L/phP4xvq
UVrcZK0sZBcYj/atjpuix5Yy2DU12zgJNKQ5efSmFYxXFsG7asnQesnnJPim011sa2gemLb0XxtH
CfODpQGd9PDZ7RTwl6MojPPrG2YLAMwPgAjF6JKCYVmj6L6SsGtspjiTgJwydXoiu+DE6h9N6MQY
8VVGOV16wkboWkmQ/dZwrf88hY34WbWqHdNbbgPFleBa+zu39saX4MbmCCmAvDYgV/jHoyFo8tMC
tFTlwB5PlpbqFyofeec1bARAUhAm4H+j0ooQJgHhN+mBpeRyVXkwpqK/xxyxwxpttl6Hcr0ThDZf
O5GWIAT0Y+1ILhlpALsY5Efn+O1jE5vGM7l/ZZ9wWx3tUyRkacI/UCTyoUHy2bxpqVl/QG0VFXer
k2L5OmWJdgGDj5zl61ti67VT7cztQGhpGGy/PN1SGQ6FItgRRWxkv6RohNsuIfHhD4b+dpg3b3y+
AGYbwVXzV1LtVJBvoE+gRX8MX3fu7brrTxrNh09vfyhmW9BQaEHO1lUvH0rAGPIj1UhvyZgUh1GO
IqorBOYydbR26pG/Je5iEsOkfAabUoSvU2hcNo0xjKrs1qZ+/H3I6+ldO6ST7w6Jk1yVwdHPJh0Y
09XjDO0duzCOQ0v75s3HxyGwMGKzKZDXWJVYySUnLrTsVmnKoHswC7vkANZtBrWNar0nE7reNg7N
ejKIudybyX4v33CRdL0th6DLrTlsFsmYfh5N8wdCr9qbLzlWYkJJPgoRdtUc77nVcx/x+ZuKg5Zr
yP50rYp0D3+zvuRYBR0mVC1xyF0FRtrkg9bbEYMJ9Hc/sU/kC0lc8ksDb2e5cmh2x15GY37nq60j
EXAwXJ0IfOD6Vj2jhDs7rmKBKOFkph9QAlZhNBfNoznqVXDutUhRT68fjfW1yooUs/Tk4QWs4MpW
UVOgGXp0G6IAp+2hzQ5SaSk7EXbrdbIrYFnMOIhV2qUVBLuGcf2tqdLgUheFchyzzn6M8FY7UQq0
H2Y5z7cfRcb2COX+Lfz4zyJTCSMKFWWimo3iXHUTn6M3OV3o0SgcP9Qo2/4ZmJZela5OT4gQBm4J
Zzzf+aRbL5goBxBpnuaQFL48GaWtD7wThjl00rOzHzr+HcnLXhtk3fdjaAgvkk6VCUJ5GbbBd4wK
1g/xrZSksTuPke5cJC7vj4GKlt9JbXtZhv8epu8B4EadxyS1fn77TgJhSKdVZScRd14+KLJ9QZup
IdwBvw+umiYphwGx3J3e39YJ4WiC2aR/ZZAfvVyl4yV3LQY1N9UOJm/MRPec1Cp66EHwM04Bu7z+
UFtxjWBu0sMCOLxCyOWouODMA31AVghuUq1puNKE9rVFdmxno2ydEVwclRkhN5dji43SZ6rG9rOA
dodpeegcA4g5WqQwTCwznFWW2+Ay5WP3+fUn3CBp0xWBvDtzlLn2lzVvN0rlIBcU3IFRCd+zAdp4
QvjyfQDk9Y+RNXXrwZlXzkaQjI5Lraj7x2qa7Cc8tyTGO3lg/3r9N22dmfnjzgxcsuJlRZqhgGjX
Yx/emiHSfiaBnT/r/X8wdJ2vabpQQCyBUC9rQcmWYGrUjAZso/Vv1oAMi6P244NZy3uS+X8HYi+z
Aj4sEngEQMZVKzwntTCSUw6BPU6iFDNX1Bzuq2zIRnfSqgaMRhJgkxZYyHqdYq7Qj7gJZsHPOihC
2CNq86U3y+5JbtusPrRm1Wtn22LL06JrJ9OdwkJXXCQcNWYwAlTsyW4d44hjTtmcpU4uj2Vj6ynt
hCr62mrOMHpa0zMHUMQEestRosLyJvC6misUqel3ov/G55wlu+iXokS1FkpFdJpcTwJBIQrno9Kl
5kOKMPtOWbpxUlmEPYzPB7FwGQEDLVXbpNWiG+Si9oBfODMBdarujH6Qd+7MjRgEOBdMyPwp11WT
GiblWM2YF32QFTTlp+FpaNXwwZom9Ucui34nMmyuN8862acbQl69lSOZb3FHSykiiVFkfkWHM730
dC+fUPC1d+7Nrc+FLgd1IbXUmiUhlU6POkaITl0td8znFHGEod7urLL1vXgetIjptK2b3FUwKU0B
8/ImxjS+UzqzPBSSqnhQw8qdon6OnIvDN0uGkwDM0uHcUC/vjAI9RlxIADiEtTH+StCa9Drm9xfR
pZ1XSnZ8b+EU9dzGu6ZVGw+JaiL11DyVp52vvlxZaRWGixriZA5tIOOErmfyGGVx/S2Npfb760Fz
Y5cAUqKPAOOLV7pUGTJrbURaeaYTyGN0wsahaL1OZ2acJ41Uu3WuqzsF3MZGwZiXqoq5CwS7ZQBN
NG3KRVRmtymUCs/sc+08e84cX3+urXcInYD2xNx5XjkUmZIBJ3GKslvd6HS4gzC6YdRreoDS9qQ6
tpYihwLGTX5Br3yxUdC96hyMRrMbOlzTDxwFA99jIGd+jeDo/X79sTauewRhAN0YTEu58Bdr9QRn
PTYwTC3UIX1QxDDWnp816ofIV6PcFapSoJZapDuxeHtZmmhYxSnMeOZv+k/3rpvZyeUIjra2Rd65
HWGldPswNY6h0CXDq1Etu43y4OzZ7W29W6YwoD7BkZOlLp535JT8P41oEJ15iPAX/JhrOJ9mQlbf
v/5qt5aam6701Wc24jKTkhJDFUlmcRW0uYHiDALzrlXq6TEbNOAOry+2FVy4b0Dhgr1Zq04MWCSP
mYkfhzwY5pcmFQr6tlpjXc20Nq7xVGoXBfbQQ5zH+h4peOtBaTFDz+Kl6paqvfyYOsjZUW/JKgwb
2ktR6dNRrqLqFEV2sHPWt6LLv0st9k3aDWlQCoWpsZ3Fpzy2m9PA7fFn0iI8h6rQf/uoFQQ0roJ/
m38zueLls2lSU5VRjgtBpwx/Ir3379Mm2gNrcc/w1yzuhvmiY7vQGqIXt4jQCKFEjBkATfllaOgf
M8qbqXBhy0vwcjtVPqVT1Fiu76tJ6yGmY3ReiII/5TLEEqxX8jzzLKWTxrNZ2WbpjYEhv8PlRvti
NVlguTBr4ho/gUwYB1lPG/N5nJL6TwJFKXZtu3Y+BomR5xfHRG7irNmVEhybMC8aV0Kg+5YqCq7u
Tpb4shfmYvhjyrmNA0thy18VM3fUQwBK8l3fD/77pDen5jhkal4eTFUg4O7EQX8vCadpT5UTa1/t
XBL9QU+6oPLyVJuyQ8qYxjk0RtV3Lia6koTR6DQ9ClUrzWs5dGDdBwnIvedAc/1lNBSW7306bcQM
30yUs1rWDfTHcaJP2yM5541RkaRe60uWcEejZSQ/AVvEE3HM8uYRwhFOw1VqpyXZRSF+ZggOonBN
bwlkSh6IzyIQySeilDU9NY7FXMoF658avxGbFEhBNEr4rYmraLhmpe6csx7OyFVShyY4ks0rsacl
sp0efTlNzKOcBTouEnqgasS1SJO8Qoujxwm8QHrA66n5H9FDmHdqKiL1GEhSDS5qiPP+UzxS5Bwm
W8/y56momg9lXJkPyOsFmTuZg6ifR7MMSzetzemrbSTOr8GcxpMj8LByuwihn4ukmLV1zuUqQ+Fw
6PvHLsnV5GFohn5w4Z8G9oG6ciC9z4wkOExZD3c0cQZ9ush44wVuIHPrHZHpt9KDMnZ67ZWDibNh
SW+quSRyr2RukJaVfqhbJ7rLx6HpMP5OnK9okA2214rc+FQ5RpO7FmAd+0GVhuFmlMqQoiwM59eT
uWjEpQ+LsUL2wc70CHuTJlPc1oE5BdGnHNpDCj6quipJaOK9xWVRuXYftL8rHZk/108ls8Kujomz
1+AiL9+V7WR87iQ/BABmxLmXdjmiimbCjNodQbkFzz3FZONmtllJn3NRq6YXQK++SWUzfdBiRO6f
c2x2J5ecLe7ZlM7YX0VU1Z/6sTFaVy9b7UtZqZNyQmjVLP5gSalmnoqZxl4DaeOupC6k/8ckj7xj
WRmXiQhg/EHEMLpMewaI6390Ksf+lVGbf6ga5XctynHnOlmF9JmAgQQUFyTJzkopvUnswapgEGCn
M0ZeM2PtykiKj6Nk/Hz94lq1jOjwo9ZMSYo2JmstLmRBW182Biu7mY2afrOFk70LtNYEc+TE7dcS
fc5zlzQFJ28Un8HrxuXx9R+welRGTtRRtB9JVxklLiK8iEUzpUOFbnTlFO9EKEYcGv2Bsq1OTv9l
KbQzgHZzpSxREnGf54EjQwT0B/iaWR5M0BNK46RK/p5N1fyrlxcK2RyjQxRs1hyFKJwAO9o5895q
qH7Pbl2/lI5J2dsfaNbG5YacNYOWXcUgQtsNMD/Vk9ZzbOtJxI5n27HxY5aPnXY25dYlScGL8SmQ
uxlc/PIu1ttSG52cAiqBqX/vRNpw7hkQi7OpCdLWyonEVe9z5VjIitg7hVvbBOdr2mJMmwGhLDp+
eQX4jhYRp7DBOjJr9Vp2Vda95lLbvl0NFxANuAB0eYGureA0uRnJbTjRR1UVOP+JSoiyW3FuMCPZ
ead/kacvNsoMXeSq5I3iW7uqa1RTMgskWRlox2k8HOaG6d1YO83PSc/t/5mhzn0lZ3aiulld5w+J
WYf2w6iXmnRoQ8lOT75Io2+yn8uMbAcK29d32Oqbzz8PuzWYCMxGVzsMy85Rx640u4V+nXt4qnOP
NNOgHdLS+dEHlna0bZF6vp/vEahWqSYrUymALp8hpMh0vtxthRKFQ1B1GWWIL46SlmfHtCz7s5FY
070aGeNef2W1w+YFqfhm+i5VwzISIj1c+VXIgjmuxrdilAXHqnwPJSXdaVL9DTTLjw6LlsKEQSQt
wfmt/1N+4XozgtC1mESqk9+76hCA2BbqYAQHXWtr7kW/sguXjGVmVVZ5haTtGNff1SQu3smYOH1U
jUgfD9MII/7Sd4hlu3lkNOFFcyrrU9Y05oARRJl8By6QfktVH+zSKHi8Y68WynQcKm36lQsJsc+y
9wE3ILiqpFjn1bX6mT3ftW7cTKJ/V4d06o5WA6mUKRsMe5e0x6SpBkrvWxUEhnApB6zIw2E0dlyu
wr51gwL3l0fCVvKhRgbKd5XRHr68vjFXAZavBW+QnjUKePAj1ZevMM9DU4Q5svYRz3o0J7/9ZERS
8lZc3bwKXTDGmTBwVoFAtmLcr+Q0u8lpqxLnIumhzqo9Vcs1BIxlmE8RvyhC1tOhKI5TMwVTepss
PzqnqT8cyXfkg4jiju+v+F6YqvpTGLURLnPG9D2sLe1pYG59eP2trnKd+YcwBiTzg0QIC+rlWzUH
X6aTxdw/SvTxiBkRwV5qmE3LmjgktsSeJDjuHIetGMNyHAUd/9EVtY6T5kwz8IQeSJD/LzCy/hpL
gW251JfWydcL/Tv8sPjBR5R7j3C3dejR85mR3eAPyIBfPjBbq+SQlfnN7MbhrpbTHryZjzVa7+zJ
/24uhcgxLVVWW6nbxFJJuTdDlxCjtmlwSgFMFcQCRDLZO4nOxme0ZQasqLLSlKPf//KpqCICbUSv
5zY2TnEe9aS8lYllHhVGDV5ZhcWdbPn5zqIbz0dDCXUYcJNMkJbJSK1VJpn5lN2Q2m6/azhSnqO6
azs3UidrD1mnbFwP9MuQCqIdvmF6SeOMCqJn09SUjW7dG8rVrOvMLZoUccJolF3g+vGxTjr7z8Co
8FBGYO4SU24uMSSas5RPxpUuWDurVU6uX8l7akYbmTXjXrpBCDXJYA0XF9isHKQIwX0SGRbwKQQe
M4IlInUnrB2Kj5gBNV8n8MMnkaARhdpGOl5eP82b72gek3Jk54nTIkZWNnCXmlL7NqmJeSd3xjMG
FShzDhlMKRxOdnKZreWY69AMZmy5ljYszSqfmDhlt9JWpE920SA8YGQoj5Z9epyssRU7C65RNrQh
obdgNglGaT20bPoyd9KsBbPqm+UjOKLgmLVliO6SkcTf8CYaTmnVlpan5c740W/j/grXqdjJkbY2
Pi13KPpUUWt/UFVIaZ3pgGwys4nuMthP6Pb2ldtKWbQTnzdfMc5Z1GnkYoDHXh7sLJWnyk6G7Gan
Znu0gsg5o5eSXpwysO7aqba+vb6Dth6N3r4OMA5ECs/4cj01FOUwmB182CBsvrOSMXkoL+ufjL6v
9Z3PufVwbB8OHRMn9FYXB6bDbDrAwipBawl37URJprNSqdW5QJjE6ywR/oeHo8rGEZOWJrt2fvh/
srBUyRPLn3BKKDkp58nP3/eOEMcIS9TPb3+N/640P/k/K4EqUYKJdOjWMmQ+AAtL6HvRd8M/dq9h
uvXFqCewRpoJkcbyzKsNLjCOQkk4NmXhFuD4HtKmxVUK9tun//BUM2aUbij8tmWyMMJ7xYwXdFQs
5+0tsjjsh8Imvg3YsEk7pe680xYp8wzZ1pga/NU7W7zChFaZTJcovnVh0HmDrY13YWlPO6nI1tub
hTVJzY2Nwm9ozEhvgcOiUz1pn+IpTI6iNaZTOTV7LZ6tB6LAodygsppngy/3RJ869JMqBnVNkKJK
RDv5BnhnD8G2kVuxEUheuQaYdi+HIBhwm7GocBuDsIkuqtyErm6PzdXozfAY2rRno6pvziSEe6Fq
61WSoUPhAAe45pNnZgqqgEsNWa44gq8hjxe6UImXiqQ4vb4RN18lNxwoEQa2K+pCYwpMpkIzvZFe
w3YeWzQ1e2sP3Lh525BNwfiiJmY+uLhO0dcORWPNJYfvdMe4iScapXL4YdSm+ERymcYu+kjtUUsm
OnVD12BYbBU73JQ1apg7b2alQF/g4ltlrH6HnifFT4qXeKsGx1j1TUEvPdZPfYwUAaASO4MVLEG0
d4vcqbtzUWQoGicJjq1U21nmAiXoruTce02vrc1GzOGX0TNZg7XrPohzX2UIkAOXvhvMiiGGaUnP
WVT8HHwh/3AQa/veM3LYuTm2NgChgeKBOm1N71V925Q0p0xvQu7NB6sdoi9IlexJU21l1dzygHfg
q2Hksfj+mFGoeVJm2c2KrOBX1ongqyO1o6sISO5AiITriGTP3X3rGPFIsybPDAhdBtlWx0LHbpFz
MjJDfsiUMStd37Fa3QWSpf58/SBtfcBZAQ5nEJt+9xIhbdaNPckZi/FjoNRq0VCe0YvwyY/rUD+j
CRQ+ikoeDnSnm51Sew7giwA/Y5WpLyG50/GZlav/uSPDMg0Q5SQeMlDS31eK9DsRqfMHK66QGrjr
651R5saeebHe4mvWoa/2zjwCb1OlT91cbcefzqTGh9df6eYycKHhkZDSrHJwwj/0xlBL4O8X0oNU
wVdmiLuTyWyFJgQYZiYl0A99pZXO15SZW2Jj1odq318QGqKVhF27eTCj1FQOkmlGimvknam6Yd3W
uYvLTpQeMvzG3jyORrAK+VYAvpSfHJTFTS1bSU3wI2esiuy7ZiS4CNud6YE6Ld5+W2NtggUCMRlX
kOXoQPb1WotbhCa7Lis+t4VN1yovYAemo/kfMoP5IyJoOQ8qVgDenuG+1qU04mx0Jj6UVmI8hXHp
HyzRWztl21Y7aG4KEmpoSnDyF6kBNiC5ZDaoqhmN3sE9GdXuT5aUxc9arsp7ESv+SUmbChI/HmpH
KJT9VdXyTnHxstN29u9G/GFH4dYL8gwVCsd5eSzHpi5tSSFJVs0w+NLVo+IZQ1Hf0jQYj68fldeX
Aij1cqkCm+N+coBJhaMfeUXXVQdEq7JHSaNwfn2pjVAObwAlQ/owzoy/eblUo2EG3MwJeZgoYJYs
+AkijKOrI9rkXKGMfhnDPezEOhKAXAIuyH6lgOMGf7mmUKOqjfOaVrrwcWDzA+MjdaO8pwm8jqMs
w2akATTn5cuSTQsDy5gceol9b4/HKIi0h2aQ8oMv5eZ91DR7QgJb66lIG0IJZtPSkX35WGpSFdqk
0PaJwlJxm1LxH9QhTB5VrTfBL2Gc8/qn23qNMD4BajCUnXvAL9fLTeG0TQVPtfF760MnKcljKyvV
zirrvYhJFMYTjCQ1MpplGRXp1PImogi3gdT/F5q5/inpQvGgycmOUNz6zmUlCtCZvU11s6wDEp15
1hgCn4NSUv6aHFyTPKuVjbPtC4YC6JZeDYPZa2RjGLlzDLbeJWvO1A8qHnwpXr5LcBywjTVAdQW2
StdGCOU+EuUeknRrh/yzirr4Yrofhtmo5uxIo5WfA3VMTmU4jidT6b5JAJ/Pr2+QreXwV5zNC8gI
VwjIuCMxhyWP1PFYtl4+SFbsYmAR3EVm15wb/p8d/bKtL8hclIxXAW62mmCbjab4A6zEW61UwjVD
C4gNGgpI/Qn/gwR2m6ZkH3/D2N3Zi2N/Lf9eZk30nMBFsX/mon9V34Hn7yiostsQjy3YEIsMym1x
A1e8nvnIx7JKFKKoDBJF87tbIjrpHtQ+RlaYQX4hnzN/ILGa1K4tsjhDqMrvd/b3mlkAKZdhKieW
lHK2IHi5yWw1MQaGDRD8wIK8D5IiOQ11739Ew6i/xzN6ugDxwsQ6xVKkymzZRbNZ84K+sR/Swgp3
DvbfPb18YwB6+EUUxUTjxc8xZNBQUdvDtoXQn7udmfm1Fyeafhuywa7dLjTy6ID5YTaepKEoi4Mt
UAB1I0VLbQ9Yk565tl+btgeYF+fpQGnD6DmO68by2j7Gj8zKJrBXUWjT4Rdtrco7jzCfyuUTcCeT
gxASgI3OB+DfTLmywyJyzOzmUPsddZpIpw6FITihdv2g+qj7OClCcWM55Giw1ntathvny8BgE33+
GSC7qkgw4XXwS1fzm93X0tMg9+1JMVLjXBej49ET2pN73EhuOcwa6osUJnTSlxGSwyXlQYDBSxU7
8nXEp8+rDO2LLpyi8oxxmrBJKgsQCJC1+8eqMrLP8KDEW986CF1O2SzSgwLG6l4tchOfeKaZV5xk
v1a1nj1Dfzfnsatxqcs6e9KmGhSYPKUzHsu4vh7UVgkL86mZIgwld9aIXw5XeDATqxBhXh0JLkgB
buyJ2VH/wOhBnDIVi1Oap3vk67/R48VOQzB7BtByQVlQEY1FTSZsZ7JjOXaujo7s4L2mmpBUmiHR
kzvdEM5n5KZtRJ7SLnLN2q6e+66UTRfX+jg8JMh6PdHLk6WL74xMDic/CT7kbN5H2UQXddKb6Y7s
Qd2rP1b7kx+NKAFiy3R2Ed2aw/U/x4NGtRBpIdnXvgq/xBjMnXUrSE4NVH+vbfRqJ2vdWI682IRw
Cvh9zenBFLDxZ8PUK2qN4r1vNY3HhBj/7zGQftpV/fGtGwEyKuAEmmqzcOdyI9hWIPc6/q/XQss1
BlqJ391rvfpVSn39OUO08gIStN25UlfZEI4c+M7i+UrnVqdn+fKViqysemoj5wrYaLzaemV7+oi6
4DAgbvj6861SEpaiTQfLjmEiQKNFcOu7QgR+I9hyJjp+Bxt1ueCigwH5/fo6688GVQGa0EwG4YUu
FeF6g9NEr8q6VkNqH2I9la5WB7zHn6Lo1JaVsrNNVkEbfSo+G4JKzJRppy52ZasOdpWpjX01uqB+
5yRFe6kAVFwCoyxuinB6V7KK4tEWaJ2PWrbXPl/HD2Q6KHbQoqOvvQK3VHrqyFOrWNdMk/0npB3S
b4wtO1Y1cuM7woZcyo5VBYfX3/J647AsclxcFiRIq2S9q1tU4+FYXENLms4J+GIPeVHnhJZ4vLNx
Nj4oBE2SMJpHjD6WGyfIAlQHtV7i2MufAGir1yGSrRN23PmhL0X6+fUn21huNv9Arge4OCd/kUag
VpgVsy76NTbrIXOhezXfBjuJHkWRIcQ/jG/GQ4GOgDnHR2SsP090X57BsYFARyfAudpDbn+QqlJ2
YzQfvwI7Z7qj1H9ef76NDTMLTs6lP2GNffNyuQ6/P2pVxbn6c0U3wLV9HJNOedIkq3JrR+muk6x1
p9cXXWXS8zMiVMCkZ2ZrL1NFaCjAU6baubaZ7gTnAKez0nWyGfYxgTJKrog4St+NNFd+FFnd7jkV
r2MPywPPmFXd5jC0+KZosXaDaRLKax76NNpacvF5yJ2u1dYq/O3Is3KPcxjnnfXP/WTHmtb5re1c
q7rSv1RoiN6KKHhz39FgszDwMQC1wO1ftlOzoBGBI0GetaKcNrzUqMeuTPay6Y3z/WKVxRuza10P
6PMjqjY6zbFySnDDvia7dB32rvWN1wZOmD3JncDXWQbsoGDb6wGKulY7VQelG9Wr1tn+TsDaXIVP
A9Rbpf+95H6JsHQGiYye+Ww2XRWRgJUPpjf7FvJxmFZZzHEgVnAhvNwCSqAoWVUj9qjF+eep9dNz
ViuRV1nmsJO1UoHyd73M4cjTZ0wG2nfExSVkQM2qQRURlsnNYFtPVlEFX3v0K56USQ5jt9MSJIai
PNKFOxQZImvgQtT0c94bUOr9vjNBQoYhuF59iC4IeuC4oNOUfAqlNP6TqAEcEI40cN+ZSZY8RCbq
YYcw7uRfchGanQtVQ31vtRYg0Zy2Hs6Sca8/hHaWjm6m0392E1JaTJwl/D0sULeR57RRr55Spa3U
jyTlmewaaPD0R+THLRLNNJPjQ1HhEuhh/Mqsa7QK89mcklym5pGs9CgNOjeb0yn2b91O5BL2QsB9
k9RCf7bHjtqoCSZncsOhmsZHklzjzmhqFCN7Ycs/CuHEf8JQs95B8Q38wyChN++aOJ/8T6/T/H2a
Ijl3zon+T2gk+cVhMC3wl3InJZrX4/ryJZby4nvTd5njDYaR2Ye0L/0BB0wr/JjYMGsOLfS7o+bb
Q3fxO2E+VL0k2lvRRXV6kBpf+xq3cDBo1WszZidMpOPQaSJwTXQYpVOiRNV9JoYm8oZESr5HCFZF
lxzZL+FajVI7J3yxw9yzHakCPxoh9gD/RSA31qlG9YS/mVIdfNGqpaenWaVfpwZRJ/Sc4i8FuvAV
DowhFBcpmrrKNZrWNl0zCXvpAKPM6ry44B/XlozyCdFiKTlUPmThg0naJvORTIkORMsF/DjWYKCY
FY3anZVZon6Q1Gxs3jWBJv8vLyZF85IK1QW3r6qpelb9JDnHZoG7RkDPSnLButS/Sr5z7w1T4sde
1eRwRnRbFO8mSwyWa8ROVV8kVa3+oESQhteaJfkUKmQa14js2Hk241KVn/repDVDYdLcE2uRUAAJ
V4LGslLrB+YoYQJJqs/i9z680mJHq2IdUuYp/0xCJCKvFTF8G0yUjojylYvd+NYHfvuZW6V/a+CC
dwjoCm8lUuc1UqcMJ4khOG5pOAMljzECUt+tyHB2stjVs8yrELvI5BjxAO5/GbiyPpF8SzKTW0/o
BSlTdzfQPOnl9TRgtQrhkdYCs3aAQEw9F6mOGVWKDB0vuo1tMNwpWuMfDTOvd0rqrbvL5iKmSiQ1
XfF6Ru4tga8LujDdEB3gQ01M7rv4UPvDnsnQ1lJ0DGjVzCJvDMhfvjZMDVEejVLU4CcJ/yRqNWAl
UXKmbmx2WO4bS5GUQv+mt7Ux2ZDVphiMuJKuftxqXlzV2amszOBea3tnD2s0f+3F1QJPCbcAbmO8
TpdXS2uY+MgBAscTQ++O5ignR6Mw0h9SFqT3Az6I9U6Ov7ExuPzJ0RCcn2dSi6Q0hSqsFn3uXyer
EYcMh4pDRWDa61huLjNPhWYF/7V4Vwu6OsUulgyN3POQVp3jOTXu7TbiIK45qPovo6+Tizlm2iEz
g+Kur8afHM70EExmfhlKtfPauuh3jsVGSk7fGoU6qg1ACMvEkZkSFjZTYF8bs8S6IHBCkP2VfGwt
u/iuj6ZxJoPdw9Zs7CcWBRM+2+aumbE+IXxKAWJfO7rMBx/tkFM/BcACOsnaCZTr7UQTex6EkMTM
4uXzZ/knMR4nG1lBo1SvShCknRsGwo8+1zLU6SEPm+hHMfh7mhDrp2M7MZVnVsC4ld7eyyWDHC6u
aHrlGonBPtToZh59Fbx7nFd7ARpA+/K4sAjFFP/OD7nCj5TIOY92xUwp1nu7OuIYbZ5UOfBNrw0R
bXBHUVp/khwz9lOStrHtynpm2Set8MvYQ83f+qQyzgsONP8i/yCGAE4pWCHBPVtYhZtoalMdwg4b
c5xoC/Upgl4v8FUuyPCQB9aTk9QMxrNTYzh8TvOx/Z4C2f6fEifZZ8MZA/Xs0J13rnKAm8C9RsjS
vYxhNBeqI9TfZlsbzQkHjeGrhTjgeClRBbKOPp3AbznmPxG85bSZTq2WpqdJGXqmgXVhWNeZNV6e
FCce7YPZIwZyJ3UNqUqA2I5+MPQ0cjxZGv6Ps/PajRtZ2/UVEWAOpyQ7qCVZlhzHJ4S97GHOmVf/
P6UNbFhsogkNFjBYmODqKlb4wht6hCpwgQkOUTkBFVaIDn/kkIZLXDLyOnFVyAOGH9tSp7qN7jSf
2hbCM6GGDZwBcT9L8cqgp7iALLxmof49NJFLWFUGruSYs+rqWZgq/0x5aZaA4NsMokqqJb+MuIkD
jygg/V9IN0w/FrHjfJcqGw6LExbZfas4QXNqiHRKL9PNNjr28O1/pbkSZMfemLoXJa36BN+DuJzc
AlJa5pZarz2MyzIu91rlROGjk0r24AXgub4bY2wSx0YW8tO5ky73kTyPmW8j59J5g9zgXa73Qfm7
w48WO78SiUBfiYNUgqetVQ+2k6WDh8DMrLvJFGp/lizPf6Rdp93jrVKOBzULp9a1rCSsz0naymdM
N+XO7Z0cDMhYSL9VE+lDW2mMH/PoSOd0ULNffdPW35sCdwa4Dy9o55R9EOvnLNCcT3OqzcmhDYlP
D+I2hLls5knhRksy/OGj14+J1i/KR0T+TfNgq0OfPeN+hYnpAPux8WtVmj8P8QTbKM+G4SQlc6wd
9CDv0GWoYucJmSephn8+xvRQzKU75LaaRHdFrwWlR8hT/cgySNGuHjdGd2ydRU7Plhnof8qpcmqf
rFEC1RYR+fhZv8BgnVIjONZyWBWe2ul97BdtH7IFZGlqZndUpvYlgMYvvL9LrX6QQxIHtytaw/JH
OdBSF7tBSOfTInVnc8gW50xrAuHGCQPYp1qKdE6DOb4sZeA8tqUuf5ojepvnKuyy2M0HM/tCDy6b
+Zp62BzqzrbDU2tp7Q9oLRC7KuiMw89QXUbFz51aIfNIZ6M+RTHEgDxum9RdurqMvEixq9G3qyE/
T7FSNT6XsPrSKZGxfHCkqf2nKU3nl4UfgXSPG7zc3UdRSHohhXF5P0ZmZB/CLhmB+0xapriQIbqn
JtUyuIzQyKXTLKGoBb84cL5gujaNn5CTYinVhB3O+eSSfyoJIbpPiIHG7fOiFm3o9Rm57YWvogKp
X7pvAUplxkkvlupzVTb14t+OBq+ePWJOgSaiVQf85ioatHOUumGY0fCvY2+C7ogYa68fsriBm7+0
5mEo382fEUNym4A0FjJda3KZVdIbBMMAzD4fx2MXY5NRtU3kU59o7qzFiv1BT+adVP0q6hCDgi4U
gp009tZBYlGVr6LUkAKnNvjaq6n+THK3p0F29eK9jiLseYFqUN5bvXiDosVYG4dQJqY692iGKh4U
/Pql18s9wS8R1b4JD1+HosAqNL9QeFq956Q71MGRUb7wrAyxO/YVZidNCnQRkYXA7fAFAttUZsdU
i8Pv/2HTvLas6ItT/ViNXcaU8doeCBXmWZbXVp1FfV2fDpnVIaowxank8RDIP26PurG4YBfpUNIu
od6yBm7leYTexihUMKrYfsgwyXZrS0p+IIC6V9DfGooeCR8QOyI+5qryBvW3KyaxuMuip94wo7St
aHnh91hSvLdgSRkYFVT0D4g5r1tOmh20+pRhcqEWylNM5HvfILywE3RfBX8ER8B5xKFzkPq8zvnA
JBdCuA29NYhaoZwMB9ugFxPXhe46pPI7ucT1AlJgloX0AZ10qrGrXGKUI5zmOxj6YcKO6CRZu0d4
dfFCmM47C7gxN5Ers3iEttdqytYQSDBi8bfLwzo/12mRHpqs6051KVce4iS7fdurmp8onnNxkUGT
bAJXfhvWgq4wzC4e04vexdns12g7SjhVa9lzLiVL80dVUmKjSFNH2rJpNH8sJlyfhmhWFHeeE6Rv
DDbXubeES/PtI3J9y3GFQ9bibAph5PWlEOhRPkQ6VsJSZrcYWSnBcxv0/ct/GQWEPB+Yxttaz8fR
GsohqU3Rs1crX0Jn+wMRy/D79ijXW4iDIXBbQiqM1tPqkjE6iG68Hog8tFGAa2IQumh6R5+7fmp2
YP9bQ+GPyEVKSR/ZrtVQQYpfQQp14hJ0avI4T5nxHOTLOLldOo3xztG4/kbCJpUaDx1mAKhrgAks
WM0JR5ROVTOVvVGL4qOmNHvUlI0p8f4I1TNeInSHV0WR2UyXkip+gqOu9CNti9yfpFy9Q4N03NkN
1yPhTCoQkbRfUVpYF/WHvjb6qkAxTjfK5SGo59+ZNWPYHmvvNsoWOw6Gr3i/aV+tu/N6Mi4tEqUp
Uu2QiIeCCi1cNslVo2oPFnPVUBZDMRmKcSCSr/AoHZguGTloXtcSfcawb6x/HBinxwyVzW9laZpf
mPJwV8Uh5FsJGNpOtn5NRBE/AMAitToa2lj4vr1khsEyyrLiBZo7q55OeRGbjqvVslMdrCooAlej
T2c9N7gt/rG7Skn9zqHbgLVngERBltpo2nSRabmhIhnv5nXz4+itgNfhArg2wUDsytFag0KlHibK
pVpM/URBXjqVGHzu3Ghb8SnlEZWmLCJsbOi364Cy00xYx4fAeRdub65kH8zCTN1xBALiRgFdgLJd
9iAZW58fwCjIE9EvvWIXd7gFILeObD4+6cYBmQVu8rE2Txr5+KmjK/cFzevFS8fopER7tk3XDxoh
HQ4jlMiAGV9d4pY24vlXEefUklF+wTNNckOkLN0g19LUxT1H3qlqbq0xaGa4XcBPqP+J1firNIRv
oRxIHfyGyTCCr0MUSh6OOYGbdmP+2FfJIuoe1U5Afn1tMMv/PygB3dtBIedzRSYxIRZS5ScDffD7
sRZM8npXGX3jxgXyADxSXLxwiFd7CAxw3dswey/DpFIMobb7JAfp3iMi/pR1QC68NIRYp9DRFJ/1
r1XUoh6edMCEaJCpLxjd5sd2MAoP7SxdccspN09JNH6XlHavb7CxW9EpAmfDKwlE9iqhqkFS1vMc
XupUHX6FKF8tjNco9PVV8LoummFO/VwVlvU/bS7k5h4J02QPGLyxyCrMFGrjwnz2StxCGbQa6nQR
4gFuzuA2o/CoS+Ue73FjFKgoAljEBaRcxZXdUk5EutT6ExQK7p1xigzPSip7b3dujkMZEd0gR3gF
rLYMiIypM9G2gy0dK9jpZuFTBiNw5wxsbBkAj5gSUeM3RU/m7ZZR7NRUx1yS7tQ+Lzx6tA623spC
zahWP9hVonoRmvIfQ5Bj7494yA7NV8YNUIz1o60akTzEiBtf4jBAqs6QggPK7Lbfh0u0c7tsLCUl
WQ474iM4u65hJ6E2jCqXN5a5CBd8bEZL+Qk5LtkZZeMOo4rBT2SoV3L226Vc4jrupT4IL6WNn+RB
qUP1j5GaDmo/U9bYRwgr1XRXhuQ6O7nVxkX2/9hY9LmASK2xZ1kxNKWtgtLoRqplTpQ2fjwvlT8V
UnT37pCYONjmckFXFvzQ6ooZlTbOwLEhI1/F2J2SPxRgFMP4iL+R+h+mxYMgmmrAvq7q6emQInUe
WCFqhmGPs0oWmecZDipt5bgY9ww6txaRpgvpFBhkSO9iE/11eY6N4TRS3MaXtOZxt9Bn8sc6MHw7
lvYaPVv7USSlYPUsItZ1jcZWlc7O1IVcuAjCR8qL80nSxn9vf6lrWDUO8ACZiVgA1dA8Wk2odBpj
NInaLmRH1SHR0uYZxSis15tRO0xJV/v0enEhTSTzEMSjgTLn/G4gDL9BCCOg54b8Drfz20WNYqtP
5IDIfJTz+i7TauWkjaip12E77+yWrUXldAstPoUH4GpnSrEjJwViqmkWdWd7SubTlNrxDqt0c1Xh
IYMeo5eFestqRhQU6YDCILjIlaL6Ualax3LJF9eCBu/1cp/5I4JiXokIjdvMff5cB/q7yUtiVWGD
ALZHtu0KChnP85CFchVDpS3LY0wBBMBlObqAXrKdVd06FeTx3J3w4QFer857hAt21bcNfu5TiF1Y
P1tuM03Nj7ndRThsDgXLG8gcudVV9FJbWqQbcMwvkO6Tg4oqmq9NMTzoWHs3bBV1FUCWHA6KB3BT
VvUTIS6mOZmSw7Hvm08AZ6yvCJMgluCYkbmTnIoVWgVlAk7BcPTQ0dFYvbASp9vSCyRdpKwbjrIs
9+4iKNhqk0gnuajsX7fP/cYyMh7DvWLQro69LPVJqMpo5vTVkkeID6vdg0Y69hG4VrCzOzaePMRj
xFACOH5F0B30aoSzICiPtMkT3yDW81FIcAqEE9Kcv6GnyQmBW+vT7TluRC3wU3gRwMNAXF3Xv2Sj
1CrEY4nc1XI5NGoVc7/J2ZM2tDIat0lLY6qXn4osH98ftVDIRLwVwoqo1KzOw5TnEqfEQAKhGyff
CKPIxxsxO0z5rj/w1lXDHsUGUYgzkj2srprWnFHyynAVp8Or164Vm9OhUpXpmBSmCXtfU+tjb5bW
RZUAXvnlVPfmfe1o/bd3r7YIDSk5UlC9fq4qyYjDTJWwNwj65jGS0taj9kavNw3+pCpuvjLONf40
wTK7PfDGlc7AJsQYoXt+tZVxptfmyiRrinLVeYQqrj92VRIfbo+ycWAofnOjo/HE02GLTf7Xw1+E
Wc0bRfVWpTHzWZH78aiGs9DS2BU53ZzQX0Ot7gK8Qgdrov146abK9B1lyXxL7vcqRxunQzgT62Rk
Ql/4lVP414RAuEZVK5LpdBzzn9B2wy8q9J1TRcxxpydFnMAgNAr6tmZffLm9mBu33ZuxV+dD1eah
kUltL3qaFwdkuSzaTxRPuT0UN2Ztd7bINZde8PUpz1CcEaH9GrFW1kk7txKiUgA/wwgQQZjdJV1q
f6N4hQvg2CNn5bZAfnx5DkJm7mTagxGWyyOqgfkeCGRrLwnJAkrzaBAjlPJ2LyX6wtfHku/C049W
v0VX9dEEy1C5ujb2n9+/1lDc4bhrBqCh1/vjr+9MIXDSHGAN6ApVPwp6bMcoQVgZkmPsZ8r0bqQQ
K41SiXhXuOqv+pcOCkagU2eq4bFTXSJdb73E0iU/Ck1jp/a4tYPJSIkaSbCtK3ttNaqDMdJw09Ua
0BXARYPoeZRKNNOjHsjLaIW0MJrYDCYfpFH6/j1M9CGKrlwL1zEPeIR5MpATvMjxYgLVqf/IM1I3
hlr1z4mVZDtbeGPPIMiCnQtvKHfQ+klRRs2eM5DHl6EZuo+oRun/1uFY/1MNUr93o26OJZilFJTN
a4iZbdAN6k2EdDrLmB6KwDTuFKBod70BvfL27twaCq4HAblBA+DqpSwCmd6DwrUadUP0YZHG5WiG
+fA5kWr1dHuojWuVGJebGx4LFfN1OJcWoymXAX2abDKSjxPA4DOAj//wnQhLWTkV5tTGdwpoOte2
LHpOdfTP3Ha11wHYeRz6VtuZkLpxAGjw8dySzkCJWR9tCQm5JEDl4TLaiyUBXq6s5oAnuu4cJyA2
sac1edJ7cM3AWamFZf4KCh2B36TR5B/dgjEzqUk5g9c0lPRzm0/8J1E3mpijSEOLjm8W8v87Yzag
c44Ewlae24ha9WiH4V8/J4PnRI4U+7gNseHDMtf+4Gc9JkfZCDAgiDsb5M7tr7ixYWisiNgfEpRo
u729O0Fz9c6UQ2RARrU+wOiaDw6Ck09RO368PdLW6mIYCRwQJQ0SKfHP/7o4JTsN2gY5c/RXVJSN
wWOe7MlMT3g0lHi05bmn9eGEFx8WeLdH3ngegQnzUenrCw7kao691TVBrpZ4ig1JfkhYD7dO0/GU
dGHn5oU87Mx042SAcKXdrvMiXWNO6HXPmDaBge5NPTyUZbB8B1nv7ITjW1/ulS8uCvgbsAg1ihYw
jPElWODnJYM6vkgjwmQI7+5F/ltD0fzGvwgEKXn++tNRJzTCUKag0JilX8dhc4QjkrkpZP2dbyXi
vlXiRldRoODhWfGYi7X9e5fMkO5lNcCdRU+k8WR2Wv1dlRCx8pwyiI/5lOTP0Eyr8D+cA4ElQA+M
AO6qt12PirWEic24EcBA+FLTP3kwfegDq365vRs3F5NXB1gSEcRVHYG+LIBYw4gvlhQmKM2Fuofa
qO7NSrkXZG9tfLEFqWVTsbh65Lrxtf0xx2j/zLlnwpX9mQWZ7BlOOD9YNQWU21N7NUVafz20/QmM
4FOzXVYnDS8xE2wnCkDWGBnfaTqo32qQs88yqNZvRpVHn6esxpwntppoQIk9UP8twU58siHWyJ7c
W9LsEe/g0WkNdXGHFkE/u3aLX96IAWp37BNr+DkYrV3R9qwnaE6TUed+o5bGvb4U+p6R3kaHhdoB
E0HPiL+sy5O8FYOOYkxyKXp7oNEt5b8r8t5fpZU0g6cvuk39p1Enf6FD9EUb7XbZeZS27hJkgETZ
STBH1+ehNezJamoLZv9ilN80E2RZmYbTDpZm69SBeqK3zZcTCtBvTx0koW4wBLJDauYCoGLcnqY4
/+I4U30GLNx4DnbJ59ubZescUHQVOHE6WFeJ9kLm2QY64IvBkn5BOVIeqzSJzmrW9TsFk61jYAs+
MSEYxad1frCEFCgIuEDHLLL0w5Z05afWZmmIrtlSPoxtsac1tvXUOcBxXgGHMARXyxk5+HWYhnDs
jprqiSMxe06M11Ql2borV2P3VWul+ZBl7N3bi3r9ITWKWRAtgfxvgKJaDaJKWXJTd86YHXBgHgFN
29PBxlrWm3r8LOvciHZ2z/V0GZQ8HjokSm5XAL2lJoJJEjw7paArzqqk/xrNVPeyJVQxOsqMpzYo
DV/F+nKnLrSBlmBkTqYQq6ZnsT4d9mxoTTxiKaKXVfqdhmtmuGO8LLAQsRU4QEmG75w0KeIDnSON
3DuG8zVo2/JDjaeT6raEsKrXDlm0d/VeC/TQ94KOIJgQ2gYkC/1zVSUpJJ8xEusrWI4CHBMy6oFv
KEPxB4Ox0oBdICVP7dwVv/JwISDSO1X7JwU0urh0DvNs55G7vkz4TejbQPYlq6Si9vaYK+VUSllP
MC3nfXfWBuRNzQZO4u09eH2wKSuA3kKeYEuc0SoSWt8l4ZYT5MZlkFI78qosllS31518z1Vma/OR
woHIoxghVLfezqlX8tjuJa7oNIql+zwzZNeRs+lAMimfclmbj31Y6vc68j47ocrmPEmmwCcjXHpl
ngPtBOZjD9QKTAp0gAHkdFPzjEkKmku3l3RrkkJPG8oj6L6rekuttUkOk5JYL4zyuwgCSOwVgSPp
vp1JBW5wc2B/rYO2uk8WJFt3ts31/UnrhXAFVT+Bx1nHz2ESmonOF7zU2tx6cxanz1ZoRe5SjslJ
V9No582ztm4xuqpUtxFHEco8b78pkKc5rkvhUT1oyWOsdmMJB7gqOogWDfLv2DLmDR8XZoW3lDbk
1IyO5U8rdVr7YNn9VN5B0ZibF8TdYIwsmg17Nhrj8cOgLZ39bYhHqTtQM0vyx8VSS27FHpSNT35n
SOfGTKfghPNwnLptMCuOH+nY3x2n2mm1Qz6AcUXKNShal1JFr0EqGOrH0RySDq+owET1S1WC+zwd
oBqU9mJ+oxtth64c1YWgy5T6Y1D1keyBix0qSP1d+ZJZMaqi4yRp5QH9pTw+NAv8CNfKGmpmIe8i
jhZ6NggQkobO2EDjT2LScQnpBhA9llv9rE3oNpnDLwPUreqPxmTR4WyGjEMe27PlFe2ClaxqdA08
t1YqRn+R2w5WxjSkplstxqD6WRuY9lHt40hxs0rOJ85vpFcXKcEN/tgjhl+fieO0L3lRyf1jDt2j
8utpkD/KdPhjtw/MIfKXblS0l9tHYGMTkhag3inKAOwJsWf+SgymCo8UteJNTbE0c3N6Ld5cj/qH
hN/92wyt4fPt8Tb2ICYIhihxOipyDCtwVK6USyfVcXLJyl6VPN15yFG0zNxADrXfQyG3L/lgVzsv
6daVIqRJhaAbner1xu8RsOB5BlMwJ6HmU7vCepEY+FSPXbcTKWwOJbxZuDTRdVof6o6OfB2bGZgC
Z8mP3NKNh6hMcN9ikH57JTe+HOIxJCEIM4iXQbxKf305A4b+kscDzVuULDS3b8zkhUzLPHWT3f0y
ankPxS/+wLdZCGojlIMpZFLKuYosO2sZAEbVMJ1zqzBcKQhrbCsl7ouda3lrZnDPKYQLEueVKJZs
9ia9EszDFzlpvJGes98rdedSdhzIYOY9tbStb0b/DS4LRW5ii9W9OAU6Yuk2VkGavFQnPKNqv0yH
9qWngXu4/dE2h0Lxi9QRXwxKQ28/WshrOshFlFxMuR/uQzTQL0qltYd5NvX/sBPJAkhyNMiwytox
opiBUmbJxCoWhX6Q2lR36zBqDpEOZeH9sxKVLvqvpigxrGbVmeakRRVq0XM+oTUojVNyRistCEgy
UXO/PdjGDQLnFok9akCvqltvlzDWlRlVDeHsp9mppy2O3bvAlnsXGYrq1KGS/YE6xh744zplpWcI
E0kDPEvWur63qqxEVlUmHsonPf5FW6o+pLpS225jTPiH070I6MeYUK2guTrml1Dqnd3g95qUCyaL
/xyVZLoW6FO+nbolN7w7vJ8XWGYWJamilj5IzojUahXV2QNiM3b+EkJYbhD3B53vYeNTfcllOSe+
iBGl2fkUGwcVVLwwiRIFXprYb3/PpOTqYMYlKuFTidofCpNuk5Sqa0RNejC7YI+PsdEgE7YQ0MrZ
ZNRe5NUCOLxM4PAImSI1Ud1udqZz3S+2m1SR5adGnZ5Nq6yOeriEh3RZEorNfXBZbAxRb2/CjbsQ
53qKn4D1BRFu9UOUwZDj3ObZTLKsP1uBET87uR4cb4+yOV/KyDSPaJujprg6WA3tTpSfMUhJbIG3
sHPniHG1jsM7MjDtYBd3llPB3ycP8hoD/ZSwBcijU2A/3f4lG/cWACzKanRA+Cnr+aLXV5YWWg2X
aZ5CHzlDLhMjXTxcxPeqXZuTBrLC8tIFET3ft7sqb+MgzqHZXfSg1gZXLlvbgOmqNr+JEasnGJTJ
lzLujbMRzQ8jyvikeoV610btnsz/xlUj2oRMm7sa4Pp6f6smwclSMWujleDWRtlwT3er/2j2cX8i
GW++UnWY9m7ujWERMIBbxnMEp3NdHgu7jgodFdU7pZgwJCwXO1I8DRXTYwNdqfBgsiMf1FY28o23
P/PGyPDn6BaK2hh/1gqlUVlhaw5d6tzpRmcd1aoo7pzRmk6SDkU3QesHc5liT5dr4ywBmRW2K4IZ
clUN1NAbsaKCQWN8HI5gZLKDOVDjuD21jR2M2xctGaoT1B7XLCsA6jZ9QpSjE6CrvlQnod/o2rGF
Qv3+uwGXPsrQ3EUUx9bhRLgsEVBFLsQK1IU7aY36sQsTdWeUDUQNksDMRoARGWidoWPBanSYqqDx
ilnZ6I1dLb0kit0SMY1hLLlLX5n6owxyXjCiqhrh2agtw4eawk7y/rCGT8cN5SAWwaZd7Ru0ZQMr
kLvwEpAsHktUC76MqWW4kbXsSQtuzFuwjkEl8wCIQEAk9X/FvUS9GZg3UN5mgblq4QTLzDunKL9a
NV9qL1GcujtU1RJ8ioU2hFck7fDkdI32+/aG2v4hRIs8SLBLrvqadj1EQ88NfUGjIcBMqow9XG+1
2KVQFsBgbJVjG1Wzp8bq7OfxpLpqoJt/bv+K623NaqDU8crYRO1IHK6/V6MujQrja+mulyv0nfk9
CEXZJqLDRr5zgjYnzEbjhuAFZsupb8eqylyPhtCQ7lJhVOZpYZ1oblxquMJmoCfOyAqo3amMZClx
rWAwomNuhM0FDWR4jbenvfFIAHZkvhRGIf6hifr2tzCck3aGEdI7ayNg22VlfkrQefuQh9Xwv0TS
YhycFv1lzpr5ri+RuT5gDqprbrFEaHTd/jXXweHbH7NeGEUmeV5gjKiFXLxEhoWi16jM1kOdVKOX
zYqN4BAUMscOP1bogr3/KiAUAtjKCUQ/EXGjt4tRt5XWDyjfXVD0RoFBJ8J/RUb/wryB0C9LK+fD
PJTBES0/IXAnORfWQip2boHri1xAzYmGoBVawmvt7c9IdDZjaPbhJTWs7pwb5ix5Sxa3/c4412En
fzZpvMAt0lpZf/uys5xIGhXYJPoEmctKwGUaZX9cDDNyEUWTnm9/3q0zJvxEKC07Oq/yqmYRoZS2
6M7E7ZZXkt9O1XRqlqF3kRpxdngXW0MJXh7gGaZHfv92CQt7CAt75E5JDCl2Q5p6fmgvCPQViHPs
RO+bY4HJBCko/FtexRj/ujqsxCjyokjDS5dELWRgQJFGK09gy4y9dtvmUIIeYJOR0kRZ3VJFCoBg
ikz0bjM5ekZMRv+Sm+PwAbMv5/vtj7W1CQUe2hJ4HZNy/NsVbAMJ93Uzgb2lD+NBrwLpaKVZvhOZ
21vDCHYMUFKCCWoib4fR8tAog3EO7py4n+KjFety9zhDSg8/dobSf4ubNFO83FroPg9V3f2MYe4k
JxT1itSLSqc0PB6IOQbD5ySf83lqk2M4UCt2626Wf08NT6dbBVPZIg7UxCm+L12mnxoii8UflpnK
ZRuZ4b+xnjSVy1uEC02kxVPilU1mDX7XSnAcF8uII0+l2PJvAdGe1MAwpo/YE02BS4Uom57qoGQ7
y+hhdt7oqAU5Y9JY1jm05Vr3higyC57UTDuiuZHXSNv1ZuMP3TQ5B3L+dMCLASzRo6wu9pdESaf8
ARvfDqFqFDEPs55gs9jikXXOrCIHH2JVUXJeUlP7YWaYAbhB0YfBIZ2GfDlZ2Si1B6UrUeys5Cqz
Hwj353MYotXpCu2XD5pUgomeR6n/2thZHtxFWtP8Jr11ooMkV+mjWnc1KktjjnAOdMiuP3RgyNF9
CmLUIRskDUq3ldvwEwkT+hNRiOes26pYvblFocyIR7UNdbNY0suf1P7jZOeh2DgHoIFE01RWDCqg
q9gliGkHq+jf3CX6mN3zruPmm4VAPhaqzdHO+b7ubpALC2MYnmpkNxzxY/4630HTlFpYNPHFMcP4
QD9hctELX/x8kbsDCgN+kWdoCVrR3sDXWQTIGSoQopZmQKBcvQO9WvZaY9nRRZfT9GuC88K3URkT
dNhVu7vDVZi3uKtCc2e+G68wbmwGRRqhxw5V5+18bS0K+jrVqfJGZftksyhnVOefRt1e7hNH/x9t
TenUTAOF+LKvdy7ujZ4p5TzKyxCDgBWgC/J2dMdYFD3v+viCjGjhoK81VCd8mahL9R0cxLbRh/KC
OqTaugiS5D/AGfUfe80hmUSuNXUnpdFOcdSP59v34caWo1IhGk0279cVgNrKw3yJGxnUVImLJk8n
+WPST/5EU2xnd299d1wNuXTJAnhWVhsuRn5NXZImQokoNqGULr2XOfkfWQtLN+kd50DPeK8zvzU9
rmBdgZEi4E2rBzNK5jwbbYiKMPfVIxeIchcgSvaQSMqe4PfWUMiJkkSSnQvNhLdfOO2AnxFgsa0V
2q0GvR9/aJQBS+xiPt3+aBsRDvkwnWQhXyqsX94OFYyODThF5xFL5kBzy8wJH8a+HDra7kl3iqGG
yTunZ2NI2pGiHyl8KSkYvx0yxKUFxz07xGWsig54DBif6T+FRydCFC01JmnnwGxsFtHkpXkBIeu6
tFUm2kgFA4ns2FF5ovvpU9Fk5Q9w2aa3cE26xjjP/+FmApzMygqyFDTT1c2UAQe3zMkhd4zr3msG
1XyS5oLkeWozD93lzpuq6t3mjXxFxaRWjYYVSvHmalATCUN7MInpJqNEKDGkJGl5AQfC+g+fUEQj
xKjkpMDg3n5CJWxLlN4W6U7DlNqloRF5WlLavtCRO5VxJh1u79KNGIiiOJQegSSmDrwaL0iDPLG6
Sbpr0qb6YdlF79mpsbdRxJ/ytu0kmMhU3ummURVbHzspHpbESm3pLmsL9TTOfeGVS2F7bdkY7z92
dAjh55hsSlL61Qmfp9npM4ehdDUsH0cJwkeuOd+TpLYPeHvuqTptHbm/hlsTShMwzCb9YXL3yInd
KDKU06wVnW9EmXoAnbZXrt9aScBoPI4GxX9rrTPWaVE7W8Hk3M36MroI05UXdEt1rx+kbgeruzWU
YB9DdhY6+Ovi1FxB41AQvrxr51TMpazOejWxij1s8tu78LWRtdog7BABQKO/e12HaRvOVmpFeMIV
anE2kRrvARUk451N8/5xkgPiujFtnPSAjXXyu9H7ZnRHSs8AlfqZE6lrs72cu0JDzTsjeTY/ybGz
dJ/R7dW7g46PjOwhTR/Ufl4usvER0zT1ZBep8S3Ru3L0DLA591FWmJ+scjG+oYZK7G6aS6Z9oChn
BUee+fJ3lWk5opqD3T0G5ELhL5vAc3bhfeDsFU8Ay7xJVaLYt8Cwy+4oBbbjVjoQeReZ/87+1S5D
Jx9gsYY/YsxKZjczRlm/s5tCHr0glofvqZqM/QkhHOMr9TgeKTIUVPK1CPE6XVLC1B2sdgZ7MFvJ
vzmlczpHtz/GRsxJGYL/ifyVh0Tsi79izsU0EzOuUHSO1NS8z8Y08GcFpXXRICL5IGmWAIn8yaD4
7pzdjR1H0RXmEAR7pGbW10SrEEDJOPHih2GUx5F/w8+ilnrPbEwvtye5VQgTMAJCXJQ0GU+8bX/N
squkDpyZJt1JmPedZ3JbKGJSOhNfswOlbJZcHq/RayJTf9IL7SfaN/Xz7R9xPV/MXMCn057Qacqs
C385Toi9UQBJzLvK8UxgvF7QWMtnrUuXnaf6+p4X4j2iyYe4MmSp1bWY53phhSat6pHG0JnoVjpn
ad3/e3tCW6PYiDPZDLFRZTEWMDxVQfiOqaPyUM6jfoeKrbqH+VKub13kllDmAXxiCoDsKtDpphot
InBWoPXs/lkB4vIzHabF9JCRywYPiDUldJQxuiey2e4L7gLLaY6hxcaLYv6EvBr/LxkbB7CyHH2e
sRE4j2znL7cX4xW98fZSo8xKywkVPoLbq/om5ZpMtYsxuiBg3V5KajWzK/dR/u8g2eGZtAKhQRVq
4MNchAN5b758zpd0PFSJZPnGYMnHwerNpyEyl7vbP21j49GtQZqDdg09DmO1G6J+iSd8YRBSt9vh
hMNgczYC7G0KU8n89w8FawDIr0q+jFDZ23NmSzZtsAxZlU7qZV/OejwXijo4ZFq6KyO3sf2Ao8PE
4BkBy7lu8BeEBSDiiEdDSN8/B0qouVtSZkxPgdaPP030FyuvJ3kN3doI+ifgL8PggvbpfpqUNbqH
LkT6YtLbQQcSRrXHnxZH/VUB8cJ92YYs4yLDukzHKJQ7SntSWaduPWjtZ9wb4292k4+Rq9HmPc/q
lGR+EgaKKL2U0w/HAIzry0bff6wEFtvXzAVR9VZSUEXN8wmdMiU0KgPylKz97OjBUP7NSqNxB96Q
f6exjGy3Q1jfpCExJ7Wn4h0SUI0u4091tDh7+J2NHSIglWTYVKNpCYl//tf1KNHxStsIXZXcjgdP
nZbioALbfp60cg+6Izbb6piIJjyuCHQcsAZZbcbeyQwtcEj/liL5ofRadFoko/PsXGt81W7ljw5s
CB83etmNi27e2Z/XOQx8QAoOtPsQ46GB+XaiCogDu88oDDdaKvt543Q+NOTaCx0HY2F4IcAa6z1p
nq0p/x9n59HcOI6G4V/EKuZwJSnZdGq3O/eF1WGaOYEA06/fh30aSyqrZndqT7tjiCSAL73BIsPf
3VsRPjw9FNnsNZWGPPjdopf+QTB/SaQ77lg6NacvbZqugFLSJr3J+46+wqAEEOG3z+WlO3QnLe15
MvMGeqCvHxypnHkNUjNF9VpW7LugbhLGQGnwZ8W5wfgV0GhS4cTgI5GgJotbzJ0IihtjdO0gWtt8
nqvS/2xurfPHnrsZOUVvonm/zdo15MKl18UwAug+vaELfZnBBsXliTRp3M0fQE6AJ0OkuiAH7Gle
uaEsCtODu7Mt4rZ3s1z/ZBSj7V95ZReuF7DU7FTgMuCq9ZOUoS10KqNKkJ5YwRrNpls/263s/zMl
gwKJ7QhjYGeqnlZksqq8Eb12LVn7Qp9jRwvylyVDETTq1k6YR/S1+49v74UL4ZTN70FOgkxz3hXJ
anLMapRpYlW4fsZC692bsZnW4ABOJ/jgM9z/9PaKF64X4Krs/x19Ay3qZPONRgr0fMzSRHAhDiTV
B2nRL1jqqrnSO/vbjz25XsjlURRDxnQfNp0EIKca0qpYpZbMi6s92nlQeyHF6KZHRb8sP9lwG8YB
YJFAIPdtsyZVaRQ/Z3o3bay1vfiBRr81hLDtgn9SF/3o0NZc49GpZucZf5BlDkdjKI1oM/QF4ctG
08ejmLTWuVvNnq6ZN9JB/8cY0XOJzGxeyAHSPgtwM1jEi5oLvEzNdUmBvVVm/8kpRpqqFEl5g5kK
peRhmoYJCEKq5E/GLUglmYtmf5yMjeGS6IP2WWNSmgT0syhYpGYHL2Ql+j3mZYYR25Ptdo9c34t8
z6QKlLWvymaLU6MG9z3Zw/beJuXWIr8NKmi4TauJ26Jq0bH328HIY80UNvZquCreBNBR6/ek/gB6
zG5FK0L4weJEeAR4MiqUqSvcr3v1btClaOieegxP81r/pOCSfFDIOolQy7XpsaiHPkN0his52hbQ
jV0T+B8si4IK4PbkPVlgwT77xtj5AGcQnY6LzhvsY87UFJz7Vi5b3G7bMoSNmBh2YW6ZiUjyXqZw
y3BkCoc2zf3Yz12f+6hJaxVjR1OqGDaEXiPIsgUQTJauhndiZpoeelXffoMpgS8Tkqrl57c3+3mI
wfMTirsP0w351NOafRLS8Zn9OYlOM/kgNbP4WqPOfNSbCUXJxVmO2BNcy7suFDi70yi7njoOTvFp
jMklxYzjCDdZURdDJckebHSu7G51mEkC8A9dS2T/1MLC64zupM8nMXOx1vcQlqrxyis4P++vf8x+
tf4rnUCGiI+jebD7qyaLW+wID507mIdFv+qod+Ftg3GGrk1fixHzKdHScxsO1mzaicHNGQHv1++U
0+UN7pVbcNw4KI/SQl3s7W984QHBlZLEcMnsA5P9iv3XA8LMk4VqJiuZuDZvUlcfYqQN4GbM15Tm
L6xEYQ5UgP/wlKfyr4V0USkvsZBRYLfjQTrli9Rz/X5QTv717Yc6iwt/VfUA6jg7jI34cPJQs1b0
k5kFSW9qLxuv9c6Yx4/BWKAhuFnZtaBwaTmTwRoBgSc8G/sard0BSyqxOMWj5rDl0o5IJowoKFMr
spvtmv3m2ZvcJ2t7ZULeCSLyVOQVp5DcSfUNjF7qNZ/SSabgqzQsTvt2067JT5zlMPtiNOyQRCAa
nTVaMQjMnBpZwcSpiiK9bcEROVHdms1hMN1RRds64Lc34c6RcUvm9btRbe0VsbhLL5h87y8L0iHw
nnzPzWQcga2pl/iMrR+z1fbqmwm06UBuX7f3PVfolczir7bPq+jLY5POWGjsU3GelWQ2t3cDsCdI
8sp3x9vBGOsttpihQQyGpjABqsIzpDUKBw5coForNuSU/h7b2UykpyAv536VfeqLfAbf0I/VCLW+
ltd6XmepHT+TBgxjXRCy9PpPjq/mb4QfDSPYARjjRxPV5n+8yfrPCuT7KkgfQhUD+knW/fo8BSZs
NXw28Htth+V736wuGKuVGX+GQtKnt8/upSfaaWJA+mg/nB2mzgrmdGOekaB2shzIidV90Rdm/PYq
l44QQicBfJtdZuj0CJHdNQ3FCru6nKuowgvnhv5qH6YBPdW3l7p0gCjqwYVAWyGSnuRx7jziuAiA
PRmNVs9Cz5msrz1x+71STfqlBpWQY3eUCVLXdAHB5zI2Wa9UAJcOEEA9lMd2Gj8P/foDGphaYZS1
+skKPnC3A6VtABlsnEoaua2mJ5iRXnvuCx+SVhqnlpLA3hW/X6+5ImpOam66CSWNH7dtM9xaiP4n
b7/dv5DLk4NKhUWewuXEhXg6VrOF4WuljtlbBsGqH+NuG2dxIL8oPzQICshDSSHrx8Y4jBLrKBcJ
Tzy3avGMgikQmq1wuiHCAUVzvguMkZ5VihFKCEQ8yyLd2OT6FCCLkz+lXt59lZ0jtftNIYwVrYGX
/Z5suyHH1trtiNxuMEa6gz2YnWqYbCn8KzC7Gg2rTvq5Sz/L1it/+6qqPuCCbfkxyj6rf2va+ARF
sxim77q3gjFZ7Hn+NUu7u4Zuv7DpdwFkoB+7oAM9g9dfRJ8n36tmjMs8X4gbQ8/GYztZ2rGTVXt8
+7OcJTP0QxjNEeVRNSQwnizV1msuXA0T7pVcOwIMEoSjnZcxpJDtxjEbSiZkxA5vL3reuNxXpWPJ
rJN5/BkKgxZu1TvIJiZI9GhH6vKWcoD5zYfOMIy7glQyi1pmeo/LNDjvtrFqHjUaGu+kW5WJOwVw
SKRtut8D5HjzK/XchePg8NbRq4HGz687uQYIXM5W9vQCTM3tfqWas71fs2X4f9475QQcFZOC+DR5
Lq3Rk8XgB4nWoVFXIhDURWmd2+LBg9CgklIbu19DWSEo/va7v3DLkYrsAYKCYCdPv95bwqxFL8op
TQAmM+oJZBBvS5BGq1u2h7ns9Du51MFBGtnyglHvf0bB8uVpP5BcssHts/2GL+9aoawfkFw6Kull
UERaWTe3tVA9alZG/SCCRh1GNZvHvnbMK1OKS08PII95TEBKBiHy9dOvhlvWxlCQAfq++LzLObxz
rE7n1Xuo9RljGw9GPYYUkHO0ePpVdPSF+x1LSMLZLgrDL9hP/r+yeJ539dO2ThN7Z+8ilze2z6Vf
l0Ys1WY+L5uptVSIYvin3OacjVd53wYnt+9BdMwGosmbtdxKBpnf09QmSWntInteYEf3V7bJpSso
gHO+8/r/igK9/qGrqDC4nkhd20IM3xez9AALlCt1+Gxl85Ugf+HIgXWD3M7Uca9hT46cly2LJjLK
ABNUK5NS6fxxF119e3vnX3j31E8ABIDp0qw5ffdtbtS6pnUEoGpzb1HeMj7lq5RHPbU1PZLDf6Z/
QexlHrYjOlDcPcv+K0uKfhZ5kMxVm96MCImXB69RorlSGZ7LXbAQGFPLBLzFaOKvTee/NtVmIsWR
liQurSFxzaiN1fXpQSjrO55aWvchSNfp52jaiOMSCOQPsy5sHFwCm96z1xb9Xen1xfTfN9CrH2W+
3kD4eno4XQ4+ZpliPaIVn743MQw+DHq6XUnczjsR+wsArUAkAw1FcvF6rcFqPdH1up8sdqpu5hzc
UwE5N/S6oL9tuG0iiBZWyJEpcCZdaFKptq6ubOILJ4aLzabLv3dFCGyvf0RfDlul9SMZPuH20XY1
+GiiS+9Q7b3m5ndpqZ1txoQSHeKzNL9Vm1idhp3V2TL7M8pJHbAql589t/v49pm5cDLZuGD1dwI5
N/ZJemA4dNIKsHPJ6Iz2oUmz7mUbc++KlsyFk8kaOyAS7PJ5e3jzGVw6gqwXKarts57L8nbGr+m5
4FVnURUo9+fbj3UhDOwUpJ3nTyikJf36W8mykV6mt37SjcCUQ28eiu/14pXL19xogFzZXZD/2ESt
XpYaim40oaF67YBc2rU7KRZHH4QA0OU7+RGINnvj0M5egvLn/J3ZXHojMCceQ3+y2jJMKQHyEDJf
uzGQEOIejMB2t/pYnVw5P2d4DAqNvbVEPN6nVKfX77qlaF8p3UmCnPZnpnwrNJy5OpQGKsdNX8v3
q9q0yEFK6Eo4/htvT4oC2BKc2V3fBIXAk0PjYbnjzdngJr7Xe9vBXkb7OOCR6ofmZFrTAyKXvQgt
xCBuu8BKP+bSSz+Wgbc9rWOVXjvCF5JhvGp2RDKXyE5ufL0tUkqsvK5TJzEbMWJ0xPcJZ4gPsYss
ytHoRX/wG7H9eHszXjhjSCR6KAkCDD4nSHOhA5IfGjdplPt92Ib2Hi5CfqUzc+HKQFEazDOcaCyH
TmeglJU1BG8eTRZY3Df6MqAbvqr1J3517nB4+4kuLgZIg+kLAG+MVk7eY5ntDtsr/eiy6ZIW6Za7
3SA2DsbZ/u/ZOh1ocJqMtPd5z8knE3rjprW7OAldHNAZTS+Pq+5UV07IxX1K0gqbnLCISOFJ1rzo
jTWna+kkm70M1cHX2wbln6YuX9LBKGU0bEb5oIqurCIcIfMn1QNtCttlxhG51RsUmf/7G4buvfuN
Mj0/G2kHXjeO9VqxU80uv59oLHXhDO+uivXJt9WV0HZph8JeAV4B4O28tUiv0l42f3QTjfFeJJkl
RfgA11dKoku7BtItgFuIxYTSk09p4zI0tR2rMMaHrGc5c1TZw3oEfaP+j9cHQZ14tuOikLp8vUGR
MuydvmUp+ABVWAfzkgTlEsRpJowrS116d2xNbtC/oOnTrDMvhLb1EEQT3dOau4n1QDou1yzbLgQT
9Fb25h/zARwaT1sGAa0SHz44R65ogt8SK+00Sjcp53BzV6SODaCpv8mRXDSOmq3GrLtrq9iyZ5pa
b2/N82DOL9nBfbuMLNn2ybsdMybmfmE4iQeI6nGqqglkpXSzCZNor3kwV2leqx8uLbnDn/aTsPeX
TnaOC2K1yEgRExOm2i28pV0RBsrVMcMC7G6x1LVu7vlWpT0ALJ2P+teW4SR000SfGssvvAQCwRSX
jciO9JOcQytAFL79Oi8uRUMC4bi9eXw6XbYW3QIh6bhJrbkNrGkdzzYkS4/DWOpXKKL7a3odjHkq
Zj5k0x457KmQBBkYg2YM1RKrF95BT5fpuMrph1Es9qEqPVqiuZ8inTVg0LCW10F3Ox3ubH3qv53f
77qguV+fSr20tBz4j5csOBOBgcjEBxyzjHt9SvECHoz5ZrNEp8IK56UitNp8fkK25hpW4dIL566j
GwZk5bxMnKDKlY6deYk+Gs3RhFwR2dZa3xom8/q3v+2FPtgOLuTrElt2jur+W/5duXUgjOF8uwmg
awRUEQAzf9VlvlK0+NrHGgTDjeY0wQchFjdZlha7ewVN82Gr9fle+NZwo4qpfPFUtfx5+6fZnnn+
NdjeCMggJ4jw8Ok5tkufRwfzmaRVFkw/SL96+/3s1IYWWZrlDUd7c1Ew8xAtMx9g9UiQ0qu2ruGu
sGYclxwDzz5snQG5rqICDei+73utHfsHp7Kd6pmMfywOQ8OfDyexdEU4edXwByyb3/2ztq7MjoMB
gvVB6m1pPgwB092PTkFFECqM3f07s5sy4EKr3m3f8joY28gdbXTjNCdYsdNxraz8AehnmOPJWpV1
o3lWY9xK35BWFPSpa0foe6v0j4fNVgPiYEGMLWKSnZWP4zQLJEqhpy/xhGY84cju1I/azcvqCCIf
DFfeIEwXZRr6IlHrq0bG5LfMJEbkddd3eWlONO61YKzDUZTDnVqLOQ0LOAlLiIw/AnbIIZnPftEx
QRHjgPhMVa1GE5lWMZJ7Ao/2QRot00/hdJMbFWau8lgfFP+mKNL8Gem8Qd1VxWCkt1k66OYBFztw
22MWzOPnSlmN6cYezXHvxzYLIzu29uilh94C2H1Y/GLFGgIM7VZ/AZ7h9w9LWRjt/Vw6a3cUNSXB
z7lrFj0C3u5OUbuYdncoWoVAVIfsp3iv171WozO6rd/F4LR2DNOj/iBRodd+4tvdPWVdZekxrPrW
mZNxG41ehsrNdPuxXvGqiQbbWh52bhRoikk6Pz1lOumz4Y50u1G4G7447jBVMfLCgMcMmYPCgllt
6iFKaaj+ojuiTxhepeZnaP35P4alAjIuc1kemgGy5o3bs31eIOA2PxhxeENIt77KQ+RhjK9ramrj
O8haixEKA5fuB+Y81pMzuduMWpRd/lbIl/af86yu1xv6zfMDulFd87wREvJDkTlmGZZTtY6hdNzl
DpOcKT3OWzd9RgrGDOLV1OYXI3Wce12vtM/Byj9oFq8rMbjwmkitefqto6xzQl2k1RTPct1QRAiM
1gtCVXj5FkEz6X40zHKzyLZ761nQ5JjuXeT3EDRcecbQapS1Rr01YL2Vc7988uZW/pCjr8w4aEom
Fzp4HXVfpaKxbiqtsNRtMan2H6hW/Ry3mIX/bAJVDWEVOMIKe8rR4ybd4keBbMj3xsPHNnT1Ggmt
TJuDT8WY6wZzr8pQYTap5b3Wa+SCZdkXYxg4DOdCNbiFcbQBdgZHZA7xfNEow+MlTZmx5pNnUOMV
TZtIPMrX28pq+pQfaRePJY6vv+XsG0NsGP3ySWWrm8c49PjPLvpx7RS7YrG894uRNnZkFalyjkzX
oSsIu88l1Zky9C/WiLBeUtdu1t0LGBGpFglXemtsQZsG2Jc7IK3afscjCtujvp7HPEiRxJgdMj9l
WdqLZ/eNd0+/TX5qJHO+H/5a1Rh6jirNHw1RGu7npVyrW5JV4PRFl48gdYd6meX9UmVW+s4zi0I8
lk7vdREKk8E9k3JZHjItWB/7QF9+TuVGDwziAKYDpTHY7/u8kvrzhkxTwFWINgw3aW3/MhiBVBF8
1WC5s/zRnm4YRI4PC40AN6xx0srCDt0XVCSBcsvnolxAUqbTgCPiBkkkTC1jAnkmyvbLjFcjhAdb
bTP0cnpzz6of6ycNXff0dkr7ajooOkoZm65ZHeTfiu6l71oD3PHKGxucbfgwDlU3fzZyldaHjOvl
3aZk6UF30fTvbu8P7xDUlTbylqNuwO3uJKxW2lJriLr15oW+lN6zhzCaDd8HZbIHo0dl4z0MPvl1
Exrnw8p88Shc9vYxJx4AFhWVH+kuPJ0INfBhjVwL9624RdZw/YL9VbUeMws42323GQU+MNlSdF9y
bZTGjQ1D/UOu1tY78m394Ilgv6oIt7PpXZ922RKBCZznx371gKKhCuPJ2CrEViEVgQJgWBfr2IT2
oOd15HX1NBzrynSzY9+SThPiDFUfLBNBfBISozs6De5mUZFNoL+mynR+KXuRRtgqs0YAnioupJHH
5l2xDQu9te5eFpAvPw1NFf94nrCe6wbtGOiMbfm7GMX8W688t4z7KRu9cIZZoMezWu0PdMpLkKnG
pkOSYf99ISCPTRyobv0WGEP6YXKX8b5b2vXP4rsLU+N6VZ8m6m7uiXaRMsT9cPgym1uNaW6tbeJY
N0b7ybPG/lufGsUHesk5hjdV3R9QvjQwxCgm/7tT0TPG4LYtqrhFuueP6zMXuEv1fOoSQ7VdHs9T
rr/rfK0aEvSdi6dN+bMbVSDK01BO+MxFCErlnxDe7j2KEnZ1VOpe0ycS+GcZM/d21wfZuc6XHEhQ
ijmE8vQQEe/lz+wzsUFJC+MoHzLho0AA2Q4d4aAyXLtO9mDXbV+FsFpydNpXKeJ0GrnPnMrbaAVL
OfLJgAe+b5i3MOWU2bJFWlsWv7Y+3ewDRQVeQra0x+9T1hn9l2Xxm8/MFmcNKlKHKE/r5Ny0OCtp
XqLWPk98nCY67g0r+D5Pa//LxsXGPnAVNfq3dVoG55iK1MCrIV91+yCHvn0yvUZ8s1DfI8jPpnxU
mjC/0k+QW+RYo1pCa6J+CTuTv3fTd2vhxsO4AHsJZb31/p0HV9qCGzZOIqxEXSALgewbouZu176f
t2xxaH03tYrSUU8TUknvq0uxV0W02NKPfouQbeSvwyieSSFN4ktd9LB2gzLo4lXTtl+tN+lO2ClM
VmIBRIHa0XNX626Rpl/GcPVX47Bo9aLfmJMjbkdDek6sdeWUP9Smt72IqRvsGzwk2ePAnpbPogZP
GSlpeirK/aCq+SIDBXclgOYCRXIwyyNf6J8wctvWWwf1UGr+LN0+ySznKQNwtS9NV8xGZLsz2onL
ajVaDic33dzfrRwH8eXttPe8FQrWZO+PIfO567OeFK/TxGmw88pIGq+xk0or1RxLvQLMaK2UQGGm
p9n9iCT0Q6k8Y7hSgF0oPZCJQiCLLBOE2mkRD1tcr4loRhLUwZ6kZcUzbOAm7N3ymjbJhaUAL9Lr
RSGdadhprceF3NSa5C5GuHqOM/KoyEvT8XaV/X9W/OGBEMSnqWMbdJdPK9jO0rMunwcnaUfLOaRo
qx+zucnev/3lLvQAdkE1GrcmXaqzyW4nG6WrbnYSMMTaFkKE6T8v3EkfrHQWRxfp4F9vL3jpDQJs
pXyDKA6h+qRanWzRNXMdAMgkrzwYkzQf5tZDyauurumKXtiVu6A7fA6sC3CxOumnLhNEQWwHba6e
zhgOG5rSh7Rf0/ZWptp4gxqfj8+RnFtiY2/k15w4zl/tPp7YdySdAbQbTp60qcaizboOQKjM7KOn
F+m9WYOttYNJjxHTW6/0dCl/L9SemCDTDUQJBdDcyTFsSPO3yTdNJAZz7UePwGGKdwO/InQ3YdWR
EEqvItlO0xS5ja9vYTWO48OQWjq4rBYXwMOaQbvFxQRzaH536f8wRzyQwpIZRxnamT4NsdCJqYQK
q8OKaNCDH6slNvTZdomquPaqDENb25Rf7GzSli9zO5hV1Nut83XSK5uLSisqgM1b7yLcnJK06aiK
lziwNzBqNiF78qYJURmKgb7QDpUZyPSOv5Ju97293/Rk9oaI857JTIUI7uy/S8GdrC/j4PnFQZua
3r9Zhjp/Fr2+2t+FYS0WRlYmOukklEYW9TT8UITJCXBZXPeB1oQ6BLX0xs3ETHGUGuNLEIzdri+9
u2U9lY2hllugFiYCH0W7MGYZGs2NdF2mKrYLC0FNv9Q144Y28lLFk5Y57rEIFqONSYJahVCLO3S3
w+KRcmemWfZPk2sg5AGbYSg/eejMaaGPxmpxD2956A9eb/eIDmETjjWXBf3jk00J/25bwNhHpSst
FfWq3LYos1CQD90RfAM9n1V/Xhp/qh+BczsfNicouygPYK0epjwzmoMRZB123wi/AypnOGDf9lO3
/ViWzficouxDKG76PnvQDG9sQ+ZbxB676Rp0VYqmEDfg+IZnFezQLRRJmoA8yVz2/yNKjAcTKxw4
njS783BNtc1nCpj12kFOopCRh2QUvQrllGPU9sH4XrP8hshAHJNHTQ68g6jqVutj27u1ysImcGcZ
ykrVw1OTFoP4U26i/eLqhUv54Nirf18YfvaAjCi2kdRSlYpA7qR3g6iweQ1azUeBUq+78aGZzdG5
XTWXwgWqdvM5aOvBhcZhOpwDQABfplm5d32/mMHNuBol5OomW+9k7Ygu7AsnnW7mpjS2WLp+/VUV
sP4QIpzsPKyXyvqgnD74RplTfliCwbzPGERqkcqdpn7ofVCyoehaLbiFIa8ea3uFbjlXm1feIpc/
ptFYMSg4yrokcWgAI3cxnpuqDzmqOnpLg+k/VTmaRoCSW7TExiFr+8idmu6HbeOWxxGsg1921uQz
52br7QPJls48Msugp6BLYGyRCRHGQTWxm16U3trVg14j0QCPcU2/2E2zNajw+8VXckSvjtza2T4G
tMX/TNugb4chq5eP1bb06kaDbi6RJbf2v1kuRXWsxOS+ZJvcGRu6J2kEtU771E/10DH4dKzflACb
9rjOgfowtyi7hhMUZ/1Q+8VQQeNZPe8m9VVBu6fBmuLYgdX4R6vdfoXhAlAwnKzGajAVcNYXJO+G
NsrpMZqhhY1BkwR9K26KsQmCSKLI3UX6GmR6RArftPdLAVAN3S294GMpCfF4C5TVhblmpYei6tMg
1DV3qI5UdBbVHW7SfFTNOVpzrphuGOlyr8xJlRGDh6WBEdwz0vY6OX+cCuEz4gzM8WMpOs+MgRW4
bmQ4VF9MnmqcmzGN+pqNmW3eOEO2xGk59ciPMcXJI5mNelIJa5kOjRCaiqoVdFOymBluBMaUls/U
3O73xlS5uBIizqcqiPrBradTDZSLKPG6cVobsMwRZrGSbW+hMAoeY3PKgmv92f3PvO5IswyALYIe
vfczKRjDaylKhtJOQMaqMpydcXwXtGUrOM9z+w9T9fbdOrbOTZUjLhoGbtm7O4fURDrRKr+9nXCc
ZwGAZxEz1ZH8IzU9fWZ/w2DaoweSYHHUPQQp9almmuqOvp/3nhZfiY5ioELfbqqbt1e+lAAAmfuL
OLkwmZP1MJreOFrJKEz//aIWgxpjbY628tun2Ui1KzOzi0+6e0AD00JF9DS1snPUDed+sJI91Qu7
QHaxP1jFsU6772nQuF8pkRp6lWI6vv2g5zkd0ukkdDvQHKrNaQKulROkRMs1E7fONiSwHBUvZuXT
1dLXK0udpzgsRfsKATR4G9gVvt7BtDaqsnQyKwHusMV1M2aPksvsHeLc5bGyGHlOrudGbz/fhWOz
W02SrdLXB7K/v/h/zRsmdx07tZV6Iu1hSAKV/nJW/Zp9wYXdAg2F14cNI+5Lp3Pcfsq7AoF9PVkM
6Q6Rr+bmJza78hGt92A4jH7hXGG0Xvhs7BaoO/wXDNEpprVwFQLombUla8UNqjt5gYxSWxyV5jdX
ECvnM7LduBmkRkAeTLP35LNhvWhOnaOMBG+Q7bAJ1/y5S4vdwGmz7wSKDBH1nUB8QFHlI5965Ua6
8G6RiXJRv0D1AXzFyfJFXtVezbgmmVCBO4gJCG/llilp6VZGarb/jwMBLmVPw/8Kbpzic5qKSVgj
9S2ZTKFH/VZ1yEAWU+I4U30FBHYujgd4gM25Q294wVzrrzencNy5dZSrJ03acbJ1zRt/7PL1Q2jM
ufgV1HjlIIxltX1YloFWRpR8i4QpKownJYcKqqOnT9gkL0H7n4tLfhpVJcKB+4j99DXYgxxdRe6F
NGnhvAjLWn8a01JW8ez39q/eoHFy5aReuB646cFFIXyGw8npZHCoYfm5XgUpA7RFMunjEq+bhSGj
06u73fwwUtBW374dzo8Rnc2dRLbXeQ5Kea8/QBe0i+Fsm5U4aScPxtwyU5oZMwSIAv73pVgJZDHd
FpyMT294cJRukdZEFKN1UqZrs6pvUItx10OlEAq48jLPrz2uPKhvVOtcTPDSXj8YuuoYwWm+mWwT
eHp6h+7jJm3nytVw/slAsYFBhYMG0Aow2+tVSkw5h3rIdGSN9OJROOS4hdm4D84KnXjS9T5ardr4
8fY3u/RoEP7AEGLahdbsyaLoSKaeXeh6gkFgcz/aQ5V0gbomGnfp0TidYBTpsOzArteP5kOjMW1c
IxNIRP47E5gDQzY5PldVZn8chkBPwzUHqXolD7i0LJccAB12iIelx+tlJVdPsRVKTwyr199rRYlg
Te0Ux4khmB0ZFfQEsoNyGq6sewFNAymFF8phQJyMTfN6YTaSaU/wmBLa195OgRFMZmvhb19Q1AdT
M8zCSeORFPTYFwuyYIZsmrhqR++ancv5meSXQM5hPr970Z/GG03CPzGagQx03apjSkM7MfXRORjD
eA1DdGEphEro0u2ZwXloaz0pi2Yfz9hD/5QWvnyqDIliSauZh/+6af+GFBcEFuaBhJbXrxe62diN
GJkkJnOBIdZSh3mY0zXGlRN5fjgg3e4WsjuohcvmZNuaS14XDcYuibOU3QNY/zZeJ1O/cpddyFZJ
BiBCQmoDwXr6NPQyW83pbT1xFwIBbBroNcdlLUvz6JdDP0WOVOXPlQ4ao+Sxra4dzr9wypMqBWud
vTtocg+c7RHIGbbK3NUgq6MNGY7IJcNeqVpqfiaPdU9Fu856CCTdfEHAgjE5PFH7FxpxwdfA7a1f
erXMX1Ns0bHmYdb6pAZa9tGS73LiM9PL75U1m9MP01D0kwTj+1BXwGgTC4GDdxYF0Y8q951vvVnk
Q4zRujZG3uip78Ipt3trrKSGdh0cj7hf6dhcOawXUiJAu3vA2oWMz+xvnNLvxgqwX2JhbECvbUGc
XMuY+1JqR/DM1O3bm/f0mEAJ8/cBgc5H3+Ff+//+rxx6bCyz9V3IeWrKBYMzJvW2VveR1uR9cmUp
k7/17y/7l18LNBgAISh1Lp3XayEo1vg0JRfuoZKJ30hD76nWvMV82iqA9FEgFnmP4gJmBVpW5N9A
T87qDu4YanqSkbcZlXMnuq+lna7e0wAEOBJgkX8sKWbwv4VTBw/6LEd9Cf0hd10aRbODgOHkGFWM
cIWTvxvzxWFKLnrVRcvuqRVltZtm0Ms9/du2BhvuhaiGyuNS6yijmv0gllgb3XqMtJ1tFeIvBqVa
38SQ3apFX744mpmDkm1cHkg2vp/FeTn37fM8z+PRWeS0PtlpQ+NiRNo1uLXnoLCeBzMrCafZVKFx
QlLaJ7T0iuymox/i3oLLWXHr82nzfnr7C5xGID4AccBgFoM77Tk98n+knVdz3Eiarv/KRN9jFt5s
7MwFTBWLTiRF2RsEJVHwHgn3688Ddu9pFcioOpozF4pRsMUEEmk+8xokVXKJfSAOiV3bCD6grrbX
wlDkVwPd9uGCKqP62aniKTrHBH51BzH0ikRfqe1ESIDDjr89ZimqLknmcNDsNso8O65xUYrHKvoq
V5k1eDGOIdKl2aMofVB6SfnI7kTRvMgX0PG/PQsEamwtmVYOUNZ1C/6y5C2RgoKn2n7ounDwKyQU
3FRJze+ODoLBrIva060uOnN4v7zgZvHTzgEZB0YObPcWOYtRAIW+uhKHEVzcQEpuOu+UgjocIm8j
omapPlH9jeewkm+KKYI40URNb/pSWndgdJQoPScLuN36FnpC631CP4sgiD+P5yEukzRBrXI+6GXl
vIuElB5sedT8pemyM6fa9upiKGZ7XQBkAOorPG8Oa5Rkd1xo+Yj0Qu+L/LIGbrc//WHfGgW9GGDt
6HMh/72pBxSZs4SSOsiHJReFHy8ZbOM2P8cveWMpa9StXrx4mLxXIH0DkafRzjiiEwzQV2VxGV1A
uwusRii+mq3W9NBrqqS5cqTGvFXKcjxzaL/exzwBNTOqhehj0OE9/nLV2IHT0Wf5IMY8vABhl1w0
EHB3iRVah0xrZ68yo+VMYPAqo10/InUWdjBqp6SPmzhHGxC4y0fEFbGxBI+jhha2tBKc5ngnykk+
DHXW6PQoKO8q6twhxafLzRX4urhH5Y9eTGxFkgUuEp2UM8/2io7/8mwoK0Bq4G55dY3lkYNWR9wv
h1zJ1asqHc21eWQ336wFlxpALEMxoQ5Ho8bv1iYFGCBnKQ/y0OqxB8Q6Kj1QoEhCzfVYJi5cpkK9
aHuiC0/qscp0TUS+Wk/ryUu8MB7NT5rWmZPb1kjP+EJtujuTpHryZEAbX/AU7mp0tZuBhgmV/KeR
3f9uKuK0dcM1fHHbvilKV47k8Sc2Fgm1z95KE9foaQ+4Obj6Ox0V+y+y6OtzxlXbAG+dKngCKMbw
mV6LgepmHSZO3y2H1lDCW9koresijXDR0JfM+VGCwvuJh7Fod1bVmo+nd+gbpyBlZ2owyAFQen0V
K8MgUzv2z3IArJtUgTWrxs8sQpvC1bPCmlZwVfiuSUWaex2HY+mvQcOnvJ/wblD0nur46Qdac+Xj
U1lTUaigNrsGQORmxztJgkigO30vH+qiqpJdg5rDgBwWfmyKhnC028cZvSAFhFfhz7qWgNZlEZ3J
et84iNGfJ+Dm8KIuv70aJl0qo3Bux0NdtSkQBnkOZCkL3xP41WeOyDdODhQ/ib8o5hMcb2mdeheG
BPfLdFjoybxr+ozWctHU3hjV8mXJye8XWZr/Ocn/9X367+i5uvtzPrt//w9//17Vc5uw0zZ//fdN
8h0YTPWz/5/1n/3f/+z4H/373fDc9qJ9/sfNU939g2Pjx1OfVOX23xz9Ckb660n8p/7p6C9B2Sf9
fC+e2/nhuRN5/zIcz7z+l/+vP/zH88tveZzr53/98b0SZb/+tojH+uOvHx1+/OuP1fLuv3799X/9
7Pap4J8F38XTj6rd/oPnp67/1x8gvf8JSMaBy6YjIA6qRP3jH+Pzy48c9Z+E5qvMJ3Wsdcfyo7Jq
+/hffyj/xOOWZUNUoUMxcPjUlLvXn0jGP2XWEvxH6jZruv+/z3X0qf7+dP8oRXFX0cjp+K3Hx8W6
RTnpqZ7RLyL7fBW3SBP65Zm6SAHV0p2wsketR+W5+FnSpc4nSLvlXuRPZfkxt65tawgUk3YStunY
09LuV/ex2gbyNJ/JJY7TpPWpwPusjIa1lgDVcHPV59UU2mDonUDINvQt0kNv7Hon6GJNBNAbz/Zw
Xk0DORdMLhxFqKfxKTbxK7i6dCBfM5FEzjvJbczSKG5xHsCscsA+QnMjTW9bXOWp83okAym2XFkp
vaf/AdpRCbuhdCcUyG6BhiWtW0SosJB3Gh19OLmT7pUm7j812MW3AfItNvA/NAbAkk+6+rmeFkLD
aIiXT3HaG1+x95mifejMc+0Ptj2m78sOylRQqMYCJoTII9ytb2IGXS46BeFdgCd7c5Tb3K2dNrEv
wVjzNfO0zNDzXdT+IVwLGChm5suunhTc4ZPFjvaSCUnQzyWB83sOZH8XF5FsulWtAZGo8nLcJ43R
GO4kyvRTZBSaBnwhVsDtpGWKzQ/9+y8NiTrkg44ooabdCshXUfMOnAj0bj/J9FX60JgcPISdsO89
JyLqdeEtIziZDlXZg76G5uOR8i3f7bCZYpdeYeNcZjCzai8p6Ni46I9UIDmjcX7XabaoA3QnmV59
FUZ0FymvTBcNmqIPIlDUoYuVohF7QpIM05Xl3PggloaYaapswNA0s2lP56PSX0Q4Sd4qRJTnFHGO
bx1WLy0r2lUajTniXsLiza0j0iSfilkLwKh0ByDpzq2ZN3LtVpKiS8h3TOBIpdRBmz8Xau3BG0L7
/pcD6K+N/uvGfr2g6YJgDII2FKEs4dzxM3RqVNs51eWgai2wyHnS4weywpTSy8UqAZjU0lgYbjjJ
DXKalDO73ekH2MSTGCUAZaHK8aK5yCFmbJ4AeofUiiWTgzEZtUdw+90drmyjP4uivRYA+wEORuUO
GK/jLVTwrjHZHmHoFCWt4ZhEe+it3yqt80irtL3KE0HfXlt+29RQMutkltEviZUwv3H0VrwDptee
ScOP85S/RqEqScyBDxmy4sdTH02RmqYiIVnQpvJqTso8yMNFC87M7zEBbR0GGjzLjORqVaW2NlkC
NRb0M0Jepq4y+84ZbONBtL3+rOiRj4O0fguL4zNHs+7XetQhGZKdU8narLFXT7B5UVupZNRHM8Uf
J+WnpZe1X3WAUVJSf+QsLaKOcHaRbS3PNN82++vVuJvMFmpzpRNUK/6AudTlUpvSZdroX5u4AcEE
kq3e1Wk0/4CWhV9MIVfz3emp39xOL+MTViIEjqomVk2bmZdKkvYIGRafRR3tQr0IPaxOBHyBLr+0
aMl/Oz3eJqz+81OvUbUDv221ttuEsUklFaG6mLKvOtiQSzbW4J1cqx/i3MTHw5rSg5Fnzj2mqcPt
ohjT82wW1nsjj+g4nn6U12sbjTLgxmuhiZBmqwxYyRzOM5hPoDVz6LLH1AdYz9n96VGOw9iX92WH
Uh9ekxmS4HUB/FLCGe1K0ap6UHzaVOkjMkTLocwm69FA2t0FVUqlN4rz8Exj/vW7kSjQL8VxhRIt
odfxqALKC0QClrNRI22fAkcKlgG599PvdpwNrO9Ga40Zom28ipTom9CmqiJj5nPKPlWoeDcVU7Ov
Bk7EQknzL6eHer1OSXlAbawXkbyWE45fCJNtYiyqVf4SD+NN6YzVR2kqoaTWkh5UdXROx/2tV4OL
S1txvQERSDkeT5rAMZSDLftVUjV7Y5Byosox9fEYiM/V2zbvxrHMoaeuSd1LYK1vbpfYMsGZZpEJ
W6EbliBSSlO4Rm1U37Q5bAYqJGrWugo2ktDVwPFd0Iiq6KhETT1fF1YNoq6PmulujACTBlndQ/Wb
EhJW1Ccl7uTTX2IzMzwtkTUJGc3ItTqrbSICEfU6fLhUDZIcqU+tnys/69NpJ2ughE8PpW7uhT/H
si1tFbokRdjCZpRFLKLMZjUQppC/jtREoLSHRvehLYXTejjL26qLGi/wO/ocGpI1ka1fKlY6zh5s
Zxn7SFTXJ2REFuepSLlcdnoWUi4vJk1/RMlBLl2zQqHJx4uTdniozLlyOP0Sb8wXYZOOKLrBdJEL
HK+kLAPECyZGC5RZs6/VXLMvF7Wdr6whEw+nh9qcNet0cZoR278Uv2CSHw9VNnGXtSbXs97Hyh7L
w+XeWMKOwDJt8e4s5fDRoGJx5oRT1y/+d2WCChbDavS/uLjBJhKIHQ9bCVtmKRZaUJRJ95A2TVh6
GbjEndKGYHX6VhliD5DbdOizSRmBjwAn9dIwRgEo07rSvOiXVkFSEnLJZWKmS7UXIkn2Rgui0xs6
JymRJ1Zz42qKcCrd47LRpD5mHJg2Z0pqj/7padwcni/vAwge2QjOT/S1Nyu8tPuxG2WyFLWN+htH
1I5vTcs5JMZ6gmxnDTMTqpQURjnQNrs+rIuxqCdbCdC8za/NQZg/KvyZoiDpMefUwqLZZcaIh7rQ
nUfBxXTminhjfHorBj47OjpIVNeOv1rBpdvhXMPpGZXXbatd1apO3bO5hUj6XAhduKVtfdS1+vvp
2X192pGbQk6g6I18MLSb43EbutpJOcpGUECJDrKl7Q7YyY4Akpsk6CXLOvM1X7+nzWGFshBtJFoH
WywDqgmmg5+Lio+taK+dSsvfI8hWHtbWJUTDJNYCR1KlvQ7Z2MMpGKOL0y+8DXlYT6T+7A16l4Ra
aE8evzFFU6D3VsMbx2P43rIKu/Vm2Jd08Jwek+GK7jVVCLoOuVvhvpt6cpUIxzW1ofwArRY9ltNP
9HqBU7uxWHJUAZicV9o9MVG41Gp6wE8Nz27Kn7DjzmF/Xl7r7wWOzqXCAIC3aI/Lq6T55rUtQ+o7
cPpyIGdpuLhqZBrfaRApk48So6XvCg73u6RUDHLHHoQNVsR0EvajXMaoENb5F3piVe5aYlpW9wVs
P91KtrqrGP+SbqelCTApxawAiOj0Oj91WbYUF1FmU5yGAi/HbgKNWtqdnrqtcsT6VialKvR4QPs5
gOaOP6YTYclcJroawFjbdRGgBjU1R1cRhfl9wY0BCDgODF+TebIwRRgase8rFG5cBWOmoIOj7ulJ
adzr8DU/nH6044uG+YavAyIJ/Q4eDq3rzYHiSHzsOWstH2mLxoeapE2uSgnn3o4U4+NvjgVAjjYY
dilr0Q304PEsCDE2HbJylm9xM+MWERW+6JfGmyxa2r87FMkC2n4k4fTj+aXHQzmxDkN/FrZPPQm5
gGm0Aio3w57mlnV3eqhNns8UrokJFUzq/QA6rLVS+muwnkOElpeaseB43y48FQeSGDxRKNZ3VNDa
AOUPiJrDInaycNTLGEq+6zQZLEWR1rsGVNaZ/PDVR13Ddy51btY1a7I3Ibbat6WmdMgzp5I+72B+
GhT0RvST2vmcLt65odaD9JdMxcIuRC1zhkriqg1mqhqASXIOyh5B7NMTfRyorPNMgRJFYWSKVnDg
S4/sl6FgtRZOKGzTX9CSuBvkdv5Y0XF7WKbZvh+6SPGzvNTOXHivt+46KjcuK1dGAnl747VzCa5h
gDk/Y9P0PpNTyXUmPT04S6deYJVjeygHAFOM5yowkVy45kyv7mIzaX8MSqsa7uAYw8MCA+/3PzJp
zapOT5lYR03peOaXckhRwu4tf7QnZ1c3/eJPrRh36I3IwemZf+MjU4pn4jVsgcAtbg5lUAyVPhYm
6gFLJV/gEGLeqI6a3a6Aiw+nhzq+ZV4+MkOt9f71nuHU3LyVUjdorKxDdVCFjJwTWY7mc8fDceHm
r1EoHhFHrd4Z21FQ+2xrXQstP56sPN2pqWJ8QZoA9g4sgsUdVEe8g6e9XNmIGZ1Zxpub/c/Bkelh
Mlf5UbAJx6/YIWirx5Gw/MXUxCWVdLGL6Cy/M4uwhloQO/sIGutHyhr5rrCa/EDknzxF1ticQ04e
Rzl/PQm6pHSnLapp28acTFuudqbSok495zfdEmbfO7OZbovJ7i60EhaFVan1B2uUxWPdiXP+E29s
aAxw2FOc+S9X/vFEZOgkAFWVUB0xpOkKpyTt44RqwC4V/SORv9gZmTjnYfLmK2M+aIIHfYGvH49p
Iggh2VNh+dj9LIiVqtTsSH4PdWxL37he56sFL/CPYzdP+7QwzxlgvLWTKB0hDka6tS6/4+FFpmSp
MzWWHyKdsottTcCczMKbHmrQj9M7SVnvuKNQCizsr2Ntjma5rsbWBl/kD0bRuqTgBqaTnbbHabK5
Qq6lvbAyC4mCfBnuDUQHbmWI5V9KrTJvRDbH/8EZQl2EvU1vAAP0TaAx63MkEijXPoIhsPQbzlGY
5j8Jhqb/z5G2B6MUlWUmMVIJL98LKbSthiIK7RpceM7M8fq7Xs/x32+1iTNyWQmHPO8sX6nN8d1i
FlGAaoj6DkkWtzabNLDbyvHyxgpp+CfacNOO4w7Bm3N54Zvras0YqE1S11fXn/9yNwoKlTrXgYVy
ztz6y4rQVcde201KYp9557eGAmjN4QwTgEroZlnFcMkQXef40uJJ3+dtbyC7Nml+Tnnn4vT0Hmd9
f55PrJcV5Yx+H32L47dy8tqWzIngdCxpL+qxWX515FZcAQEoEKm2+jOKDuvJu/2a3D0ciKAUYHpt
Vk40CxIENLB85OssPLThD1eq+psGl+vlBiSVV6KWhBrqtvKBVEWhNgqjLIvSXTbjIt2iM0ncLyOC
0qKJ6Dl9ot0UulbeasAsz4TGb526vw6/WbITXgZWO6yHvkHdPu9iG7Ecs9jHoyF7GfEyhFI13Z/+
km/OLHQD+vw2NddtQdsYIrmS2AZ8ST31c73MYX+V5wByby5NQyfdwhdGpeJ7vF6kJC9q3eLVUuCt
2HmjsSJHwrWs8Byu5s3DlT1FgYBqOcXNzVBZS3ySkeegyAIX3ZMa6iBm0k/YKAsMzRIEQaCe7RYd
/X9Rf24Ma3mimQ70paaeeyakeHOfgChaX5q33u7+Wm/xokWHwE8HckwZ05MbHZf7my7VGl+MvTj8
B1/zl/E2GY8cz+VEs5+Xj53aa9CZcFXGO7NQ31ozlAaBUttwD7jwj79mWAwSaiScrV0uFQ9oeUW+
NMbyf/Auv46yOTn7ciyUZKnZ8/D099hQWruuXs4RQ9aTanuyEKgj4UL1jDR48y7dRPWylNjzeFW0
l7MVJZILSnz8Msy0z9xKSxqqd+TMrtU2irLPYYAHpz/aG5tjZQPhXsKX4+jehB65k2LnWpS2P42R
uBKYPu9C5H2QQ1T0j6eHeuOIcYixKJ/R66Fbt7nrTTls5QnvBh9yefllyNsJfzjD67qq/tpyhe3y
KpR3p8d8Y7UwprGy/kjTyPmPVwvKZRIu7YwZJWhXx2mqXCI+e6559eYoKsuRDhlgtu2NhKMtEopt
bvuiK0vfVqufWqP9hSc7gpP9Cl14c/pQruZ/ACi4Y49fBaKdmE2FL5VoBRg9SbazQOPE+7KguviO
+nJ2P6aK9vvbjfLF2tbliIZit5lAInHNjAdGbahN3FBv1a+y+Gwnd71dNhsBlVZArNRmVunozdHR
qTDECnQ+/Gycsn0mrPZTjw7czo6L5bqW+v4xXbRl35Ry60nyqO6zWp0PHTI9his1zbmS1JtTjRAR
6DN5PWM2Uz1gMlLhYEK6GZfO7I6orCDEoDb7vJ57ju5ivAEWCcDn9GJ94zhgFv4edp2lX8K1OIkt
iaAJW/d57AK1HsLnRaqtIMNayy8ipFxdS2sdd7RhxfTof54Z/42aFSREykMYVNIgZaceP0DSTVGf
V5Htt+WUfeSCgwCttEavubndWU/2YIw/ls4EWhz1svJYqaX+JOW0USGBLEUV1IuB4oVAh+9cav5C
73y1QqhsUOJRCJG2l1lv9rE2IXCEyKYGcASKcYYIRi7dki3bt0kuKZ8noe/Trs+9VA1RCjHE7Law
UR+XUdefuzb8Yll5iFMR7LjGidKdnNjpO0yUUYJBE3k4UyJ660ygRUdfgqNrhSgcz+WMgpVdoHjv
g3bRPDOy4oMchufEAN5aqUhKg4Zn5YAE33yxJi4bOp4pXwz4NOowozS5jhWOO0WLpr1TzmrkRZX0
u66YRKvogkP+BUJFIZHI+PjtyjJKU8shi7AV3H5iwD1Ba8X5Lu3ryD+9K15XZRgKshaaYCYZxvbL
j2ktCQfAmy+PZXHXjQJlpnQcoIjFYFCKAIVaZPt7ZAi/WtmAVOXp4bfMvJdXBUzEaudFwZmsu/aX
XTnWYi4KOwr9DHy47qHWmz1nkiCGAm2o36a56kQuBFdIwmk5LYHZj+8lfBpit9O6OnH1Ml5QbJdF
Yft6u6Sjq0or6LszARV7odGn0V5uBv0pQdZm8KYlDPsdN6R6a2MdlbqqhYV5EFly+0Bort6vhcmn
DjmrxUP5t6p2Rdm16DoWzfSuRJK1OhMhvF7IwOYpBgHcWg0aXvUC6DKrZUq6lRnJGHSVlT60VDl/
u265UuM4dtgrXFrbOKQWRgKVMaP21gq6OiUuvMYyPGdqMZ3BSLy1ntAv5Hwz177stnRrAzN0OsFI
YFbrg5Vq6gdZLNpOq1tjcaVJND/Rtw9GydDO9QTenEqbkhrCD6zol6ryL0tJ7TNoEQZVY5I6BbOH
qe4C7tVkr8mz9TnERGVvmXXtRrbV7YaEq7ClV33FoaYEaQFoDHz8PR4z4/3pNf5G3rKmt2QJK3KL
/7OJAvvO4I7LBwpQc2dotJ069b0JHPSRPpB+Oxl1VICNUPLvc6Thn932NuDJxWYTelBCo8YrTDGf
cTt5fbTxTFCmSYUpWNFbPt53SWjGjunMls+qrG7ztA9dIYblh6JXlT81CwYITRGdQ9C8jodZhIBT
aWrSACPwOR61hfVSDzi9QMEoRi9SjXJHHvVDmRT7THqmrC9wdKUhQgU3jKVAUAwqdPOCSIt2DnJo
kt/Idn5pg1d2a22KHjhuxHViJynysPGofs37rtgJdGz2FX7t1IKb9EFdivq73ejxj3pS5TtTwqfB
zZFOP3P4vgpJ1mdkYQCHYq9AnTuejjCKpLgGQOc3Rj7dCaOVvqOJGj51mbmsLOUklvcod08/BY/2
eVaXbn96ab7aMpsH2IRi7VjasaGXki9EDtw8dj4sQ3yuCvnqSFgHIQEjsFZwH1PWpfjLvkzRQE17
7hkfxf5rWnmXWa6V3iRp160xXPW68WB07Zn44M2vDwp2Fc6gmbRtNowNitemlEg++mBx6Y4Rluc4
prZks80elUTp8+mJ3BL4OG94SRtbXGjWCtnz5lMaEghG9PBC35LFqpYdGX7aOVPuzqne/pyGovkG
I9IA3IeQ/oyHxI2Jpt7ph3i1u9ZnIGBY8RpQobY5zMQ6ixGVk/wElCxE2KihAyobWO2I+v3pod5c
OL8MtYm/6HFGAGZYOGU56bjjxQ9LoeQXpwd56yPCJUUQFYmXVTfkeOHM6AhOkZRKvqrmcRiUS73Y
0LBteR8WnfwJoWzt5+kRX52KZLPMEgTvFS4JneF4RAlCNSisxqGaFHZXip3PN9D08/t8ihATXqCQ
7crFKM4cA+dG3RxVWdhHQz63jj84DkLZAIx+qk2EuUPnDD6Ut/pamrvwzHX5+gtyuwAKXAlCGDpv
0YFNtizmFKuhr6eJdaXLpXmtKFF+OD2hr/c+o4BNeZF8oTm+ebWR48Ve1CH0c0eZXScewN3HOh3b
ZIQXD8i2iPYFonijW6V5cmb9vM64kLKxMd5Gnw4MDSHm8edEnLic8godktlR09tuTbO8oeybR1Pr
rtH1VNBFbOrDjF/fe6vJnCdSNHln0su/nG2kd/QG1djfnxBCPUhWsAFWsOTxI6EwmbRl24R+2jo2
SL8qu5gszfwYtjhTejpeDjdQBcfCL9XlnA4EwAh++/ZShCWCc5QNlPUVJHRUihmKxhAFsdbbV9GK
avOiqVpEgN+TLJP9E/1UVm28SyNlwkfD6CeoIsmYy2w8FbGCyJZaxLWNxjT2SFcmGkQZOf/EbR9/
ogF7V4UaCns1zR89iLsYcmWcaXgXO2HV0FaupDkJwqTSP8dCOPF+NbMBmFF17R22l5rulpIy3uvG
IL8TWpslbioXLbKJlC8q1+kkPCmbzh5Ml7YZeGlRaICSakj5slu0g/bDonfxswR9f+0sWecEmdWm
n6beQI+wpMtLnX1a9PdaPVcfWyAwvE89Nx8NZLFuwsFC3xSFzdJxG83gzxI1ttlDIH+1KAPw/n3p
JwRPDbPHLx4ekJlAdKn06dKSB1RF+rCdY2ykxnqiGJ70F06RN4ZnoWdODmzWArFVQ52Bsctt8w3h
pyjyzWZBloNsGkH1UqRBX2uJ5pu1XcX3ElqmXmGnmf2YadjNDsjNN23pUUuyUfU1bOlCbiIHDEYp
WhRL66VoLfWDQq+IxMji/YrGt4EL4NSL7Vv4IYk0WhyJLVePShzZtrIXVp8XNAax4XRLLPZiOFFI
NgdKnDmaJ4fIa/mGKZQW8daYTonUyNZTP8XZV8RA9RR5eqfJPS3H/AwSjW0QdYsMLdcC+xnOS0Ty
O0/Bv+d5MDT5vqYh/RyPmdW7MvpEeKNIUdT5NgyG5WNnF9G4MxH/zS46U28GFDrlvnanicaQXyuS
ie6wsAnbmrkb3mNETClHySlm+XWHGoerZg1qobmGKH1gwVFbLomd7Z5OhJ7HGLnMKpYfsRZJQRIp
oIH6ZZJ+zg1rYDIGhfKKHrV3VFpaiqaZFXYufO9Y2qV52LPUkQq5tZH+0r1cyK3qxZWRu21ND6fK
TSxs6liaf9AOsFJ/1qzoodE4e1wF7am7ATgjLihYAzRkABq4KxyLss9zGREeDNhNvyO8tO97xIDf
A0qo0TBtMD6BAV4qd3PdQPDu1KlFU0kzxgEJZzRMdqOFQqurACYY3E5G38Xly5lx4BiT/EVls32g
0jOMgaFS0fGWyGwPSYsiqJsald76xEfTNxrOw5PmdPwiuoFwDHEQXzSoeMPyHt8Q+T2NT/WrQV0w
Xq1cqtnF5bJ9LPPOmAKKqIMOKjg0TV8Vyeo5VM+o7lIuSZ57LZwvUZ1Cyb7Lk/gu1NWpv9SUorhc
HWDLfcetb7uVEU+tL8fSCG5wbFLa5BEg8IYuYXSNncf0ILWS9XUZMuPO6Kw+vjDTGAJjHmaGX4S2
mrnYQkY3upQuk4uFjfV9FE6ksf5GJBvQBlEXF2xgWvj2DFkJZ67YXKiLx3qF6K7WCX8uNf0ZzvKS
3w2SFiVeFKfSeIHFhoLFBTmd5q4uvckhbrPyS4OnzhcljLSPnYSgiis3LYp7FtqKX+00Qip4VsOa
0kWNkK5XFGNI7S7Jyt6j0hhxx/UGMVmrxfsx1cZHc8rUiw79bmicjra49XIpcJH4NuHPULoKniqf
Y0NOZryOspYD2DDab8gG148RUHnF622z/4x6kalc4BU4W+vBIPCTEFn8QY5M84Oaiqzb6XY6dT5+
E8X0haqZhl/ThLtUMCexej8l4TDt2RQhT51osviOaUWuesUMotot0qSzrpJolvpDqKN9tstbKlOu
0k00u1E07itXnUNL8moJgBKK4nmG9lgsqtyT+0m+RJ8Tuw+T8rlE3TmTv9Z6toiLWa8KxR1WeX1K
XGQ5bmoO8uxbCFDk/iTqCg+dRIVFUeJUabp23Vtfh6mLPuoGjl8uBrshio6DgGI2T7LU+VlqIqdZ
oRiM5jfCIMYF1P8RzUkztT3oIJm4UHJT+6hKgwixjjDb4tBZA9rLMnAn5IE1eRUJHjGD2gk5LBDn
NidpH8ed/FPF80QO9EnOxHVuFGOLzTcRtSc6fQw/IN3UlXeaSh9kjwtFj6cyAFp+CscU/yjMlGYf
e6Dxs0AYq3RnI8kcT9GaTrnAwolPhU6wKH70WTqOfm1PSekWZldfKQKHpghb1Q9y4yyfdSJQLeAE
1dHj1sLkk6m1MHrTEWrEbdZDXQoyvSzTb6hT5ehBqtCpQSQ4NEZlkVOr1VAMd7OlFo5nWUjGD1Ln
FNRhKE34eZaiSbSocfIVvN90uxTpmD2wtMfKj6NauUiVRPre6roQB02E1ZNMryTzYBovpdsjdsTZ
4fTOol0mIucSQAMbaxdylVHfjQB8jAAQJmgCuAY9IuezOX9Kil75iDwz5khRknFOSMQhT7iYYFWS
ZC1+Isiao7eh9/pjhL3R5wZ3H1J2bSIfkLpBGxBXxvLdS9ss/qSVFmLvVdaVHwpgRKrfVIPyU2qG
/nnUlvkLfOmRjdfo6ZUVthi118hRD66zIM2PSrRcXyGaP5W7MkQpap9bSX4wjM6c3aks9TsKKflX
1YrV29bAPsuf56rqP2htmtz0JYZ7PkKnzW3HfxW6NGdrM5ARcPoWawrWkUlaFoY3zwPhnGmnw7Oq
oCLmY5NhXqe1XH8VVSskBPSUrA+GuYeAbFeTcdVjCtsfkmRp+r1eZ5LtKXmpgjMR4JU9fYg5P51l
MdodxBv9Xo/L6X1Y2nO7x6rcRnR+0UfbN0fKoIRxAstmSEcEIlBAqoabFFg7qmfY+fozlLHQM6Vh
fsp63AIJbQr0yQbm5UayKiDRVgVnHKp5Xg1ek06XodqOuNwXz9oQT4lXN7p0k2s4v/kLbRtjNGE3
JywhbhtqSMM+7qvsKrfrxt7Jzph+wQRW9N4gpDzxy7YWi5f3uvTZ7hQ2odHH3VM7z5PhDWTwRoBM
in1ZVqsHQSvJsCsV4HNPSPPvMX5E/Xzged2iUNV9WrVy962YcK4OkiJXE0+3i5C+xeSsjFQSBMMr
mi7EFwYJqEsN6S/ZT1FWv0KbO74FO4bjp9xb+kOOSx5lRnTGTUPnrVGwIDzWG/yM/FGtcxiBQ8X1
jatB1YOBlUb8cyYsfAMN56QrO7XlcJ9KAAcC3JsxA+Pkxy1gtY8NmqJqenyWkuaHXkzipy03RERl
ZBY3DlQbw41W9xY3n1NThhZlS4VH2tRqXqsubUhABAF7dWqvKldpjEjgsCVlqKuZHJyuQ/Mefrth
lF2A7ghODiRZ6rmq9Utb4DiRgAhDA4Y/1yLiFp1atKA58zmWfDgpMRQh8pjaDbGYv5qpIrmhiSmO
hr45nRJUamyrH++MxW78KU/C94lZSQeps5YLR0TWQ7E4BoVpPDPKdjBcYxg0VMvyfo9gsOqNJYYV
aA4AXl9G202zbkGov/lwOi17o34DvxRSM/waGXGKLX2+WYZlDHs59Ffc/l4xBSKPyqJ4da0bN6aD
NDwq8ektAXasexPUrdtOmPEZLNTrAg7keRJ68rN1creFYmtyxnaYcsfX1bz3RjkVD5w1hOPl3Px+
Yn401CYPlbBhaKqUSkdXSvEFfj7deynKFcobRbvPZ4gSS9084u6Vfjo902/UHSD4wKVCnNmBXLSm
qL9UA81Cb0f63g55RasGeZY1gYTUxpk0+82ZBM5Mhg36EYXU41EWuczsHA1kH4ZY8alAOhXTeBhs
e6puZ1k6bw9GOk0FEF3gbZvQ4UbX24T6jZ5Old9WNEmJPB+cmbzp9OS9zt9ZIBQz/nekzeRVRYsP
nsVXoyE2XcRWWF3Yq3buYvwf9s4rOW4s3fNbmQ2gAt68AshMMpOeFN0LghRJeA8cmKXd19nY/KBb
M1cENczQfZyYqIpuqVvUwQGO+czfWCB3w2rAiyKN7r4f9GsZblHAAj3wS10VqNPnd2n0QxBVWY9l
I+Q/5COt1I/li6g6U4LgGAVrWXarc4VLh2YrZXsTEvFqgg0uOl1r5fhM16r+PjitMfia0em35YjQ
aibi4i4qtOxR7WdlN5aGev/9XP+wOimdLnpy1KtpiK7WzWAGhN0qdWNNHaz7OoPWaGHv9p/tuH8l
g67+c0IrtaLVb//fFy9il/zfxYtu3qv/+R+vWfzz5X/4JT46/KJ4+SRlxI//K2Vk2v/QnYbAha4I
LBS6i/9HyshapIwQaDMWOLsBf4G1+7+ljJx/nEUenKSH9ha9av6vf7WMFOsfLq1FMhBolg4lXvkb
NSP1FyjuvxYtmBLaGhSNKektgFl1DS7F5VVNEK4m2e643w9J34DiLztznLcpSdydmsJz3th6O4Q7
WL5o33JHN7Xbt3V2aBW5VH1NSsNy3xrZxB90sG3tlbErvbiP4pe5V0MUFLNSe6ugK6CijEklIWyl
9z+KxETCFCB5orhqR7HcLWsKjKf6OJUmDk2N/QPi3pKOTQVyNKKDBo79hq2TmONHlFPXmqQWhfzW
Ts+LxWPBbQQOLi4K2QF2jQkQ8h3sU1K8fEq1i1TtjHtES7vKU/qlrqXk42I3N7dWtQlKS7w7vWG5
lSEV410jY+R6klIfHpEDMXVxUUc5znkY9FW1JzmR/Bo5TvCWFBE+KnrUQe8WQKhvW0xlzfNCaSvH
S+WyPx8c4aDa2s0qNYiqpaqTN2NO366YVbCDw4A0Uh5iuOEpYadisaPYcX6B3lY3+C1Bxi0JjWSc
KHLW7xRrFBjDUjO7EsYcDmBe5uSFmDItXMvkp71GL8Z2Y+pGqXgauQdBiAwT1ucM6qPnqCvkSykw
5QpjJJR1KSrYubgYpl4fdi3Gvw9tboiWmkrRKWIjxYhKndRVld6pzpjqSyyXn2lxhGVPEI/5eWAJ
+WWwQMtYqWG9pkWotyj6TSnuNmU/LEWeBHfMqZ+SywxhufuqdjD91CqbwKgYNUyMI3x6XmcEnCa3
HZP5R8gdN7iDhdCOi3ZWjwhdHZFTJ9Isxd4Ej154qAxWM+agoGSvAZuUkoukASJNs1TW2l7Xo0jF
u4gKBqoGFsqHtYFVlpRk2Fo72BCfV4boVF+vGuvdzqo5u6Ctq950gvb3WaLjPHNS9ZpKRqAT93nO
GKQUYXJsovAogVl7KOkfDacF1eTaE+qE473E3uj8lopzSD4QwrfF+rWLPUXUjr6V6yXc7PGuS/0q
1bJgJ9W2fq6bOUlgiPYg303iWtktfpD5Fl/EcqZK1/Y3rRLhFdIG1vBTyYdRoLtIGIhRYRSJswL0
11OiUnzzo34MRvLYCIyApTbkClIqkBfV21b1enOQLb+B6av4nQLY2Oup5zm+3aTlbTDM3IQQpkPH
yxd7THfKYN889YYUUORH8apwjTGVHrq2ifA/MkbpvolxxfPRmjLu7WGQHxwx5AGsYrWgvhLmhs7W
gseoxBZ8e3usfzpljW6DTh4C4TuJkZim4v2KrJK4QgRjjMlIJi2iNpPnH01eCsebUnWh2KIadDt0
+fsUNA36aQDMRm+O04AKjGMnO2gaus8h2qDfno1G6qVR2P7sxCJWPGSzfVaFiPrQn6nZNlYUj3eI
lBgXULno2kyFQ3WWDlO+tfIcQvQcThYOJgh9nOYZs/WVrlNxuOpG5FNL8liwdolUlb5qNI62lZSO
1CXnoA5dSUd52XX0DGNxp5/baUOGZWFlKhSyG4t8nGXkLFbbgDdAt5r5oB2QYJb9Opfln7ka9C9F
o5vzxhgiJ8PmJ9N1dzLnnlAhtpIfepIUracWhoJMTWBVF+YQxcVGDim/y4T0LSkyUDDyLIpKxPua
UfmxYOm6g45dOX/hEDZuzCdArgXTrdcwiPRzGavkAdk1VZM4O1Mnp6NiyrVrl1KJZapwVJCWvYaR
528X5r8xxO+I1c+hynLrgCYBCo/KFXLbaMd+Dsswb+9I/7thE8yVsglUUmelyY8qtC4Rz+fLDV1Y
MhK4GWRIAMM/D4OpSdS3VJ83o8OKIMdrFjc8AGFgBubkPEoAjZpqEjxjHW4cFOzbscnr5r+T3l9m
S1CmmWjFQi0HRbAKzKJWo/lhavXGpHS4x2pKPBlV0sK6L/Sf37/YzzHoMhS8UxsDKfq/kEXWGmJF
ETgKVetqk5V9TO6tj0a7SZWBr+x0GMKfUSF1HOztVTpavcw/XotA3r8E0P8fJP6mcEkM9tu3WRQ0
P0lc3r8X73P/nn2KDH/9zL+hoeH8w7eCaGUT5yG7vSAl/1W5tLR/FsYNO2QRz1gkFv8rNDT+QeiF
v8eCDYRT2CKH9G9oKP/D+oJg4oAtBUeGHIX1V7Hh59SQtQTYjk0DHA5sxmJN+nn3yAWq0VI5Bf79
5ezm7ttz7F7F7mXoXkTuxdX77sf+4/Ftfwyc8WXPrkZdZVFzjiIr3t2B/1y799elexe6tfvIb17f
z0J3XH7/vts8PbxcHO4vzl5+fNz+OLxdD+6x51gfHavHWLXf5VwdpTll8mV5r8ivTXT922L4wwn4
C7j+6WxaDbAqYuAa2KnGMs/Sfby/htLhPt8/3h9e35HqcB/59xlgnXv3enlzevl8dxq6pzfu1enN
zenZxc3NmXexOdvdnO5ubvbLrzb7/ebwfHtx5u1v997T7YV3e3u4vPb2H4fbi/21fzh8HHn+XwCW
b55/fahxypWWRHrtnz+fP17vT86fL58Pj4+73d3h/DF0N2c3Z5vd/mxzc3N5c7m9XB5xf317fbjd
XOyPYCV+CY199ywkWb/XZVDPSqtW+/UuX5dlw7t8fb17vwrdOwr6vMab97uYdxm7Mb8sl//cvd+9
83rvxmU1P/AnHyr36ilyP16eLj7enl6uI3f/cs3qerr6YHVd337cf7yVLjpqrMqPewIY9/H67Ozp
5e3wcRu5129H3u8K7vBl9631gfS0Q/7WYE7+9tw/OfeX/9667uZ0u915ruduPH7jnvgn/vcLc4Vq
/jqw9vllViGRSxyMgc8MWYbXbx+H10uK1O4rKsDuzQXvqnDPnvb3L1cvF0e+5LKrvvuQqwu7G3Sk
VSYmLZkntfkQy89hehUDguuqHl2WIwWTFXXgP6dK4RxM50IBhMXyeapGSnsJIHXgUy88j4ezvtVO
chs3T/2jtmgwaekz4taxpG0KcaOLBx3qldD30vwypT+G8S7s70ItPmLHsKpP//tUNETJ80mXAR5+
fqo0Q6/CGqLlZLh7LTn9bmL39fXq5ezq5enq4u1Wdu/fjm3nVQ3566CrVzFHTW2bgkFbWaLg/2DR
XEqVwzjd2oDYmy7wC/ugdH+F7WZUgDyIMjuEg8uVtkYUTZLaL+zy2S9rwBQWxDoalPkQ+lMn5iOh
0fo6o8AJkHOpwpiLXv8aYk1poKO8CYUlmi1x3g6T9iL0Qb2hFZZffb+H/jgUfGfuZ1mltLM628tY
i2U0QGw/Q2XjlkS9Szz60HSTszn/8f1Yy5b4fcss00LyiRcJpBHC/PIsv9WkLQS6e3DIgKG70rik
6BhsQJVlRxbln0ZZsM+LpBaBxVpfTjTNSEuQwNkx+nkXDPjhFlgJHDl7vqzCZTLkrxaQZyAe8lqO
vTJiLUVS0PLVdjS3EQzJh2HOQs0rDCvYYyNAOlYGXeLXqW34yCU4P5PCoHL09+8UyQUAuEh2Ipmy
OgKtPqp1ICPwY6WZCoUjVHdo52PG61/eKdhQCDqEdyDZ0excRTqAJxqrCHoNbmAT71Kwhi74q+gv
Uy1YRoCXyTpIgzW4GquNHQ6JGCLTGgHG0wVsnEJ1o8g5RsX5suIZBSoMPQQw0ij3r8IlvB7axBDm
6BeD4uyjWnG8HlNnX8G36MjHWSsBEjd9Hmu1uxwnc3L4TvSymwQdnfQmty2vbruTvg9OE6vdQP99
KMn3amF54VydsM42OI9slREkhTmcWNm4Mcb5RTN1IM/qNtGoZ6Ga82NM/vYgWB5VA1aNPJuxWAx9
3pyoPdCnBY3ha0VSbhHLetTsCLuspCmObJ2vi4mRFu6VxtZxyB4+j5R2dp5pJcXKQMvNczyUZAB7
eEh9vzGWkP/TYcN8WKwkBMwF6tryFL8dNmWQxs1Y6yMobWFtTPxyttkg1AtzmgUwtcg4/X68L98a
VhE5zsJAIQdZzCA+Dxh3kszd0Uw+meuVcdnfF+fNo/MG84Q++ENzSO6nq/kiepk/4itnH2wa/5i3
zC8RgN/nvH6E1ZyHsc6kbOARynvtVr6xLvWL8sPchXsNVq07XNkgO37IV8nk1qeo4Fxqd/qRw3f9
1tdPsDriRaTpUS/Vkw/R07W74qQJ9a1qDPuytrbfv/D1MgLeC+kc7UScBIg85NWClRIDodeWyrMi
cgk12Lm5bcJCfjwyyh+GAabOJoUfCCBuTXEIKy1QKmuefD3KT+26QuRcKI82XnfgxYRbNAr1y31U
/dCUYTd2uts7P0CEelEVqK5kA9i0D4ZTP87DFnoYUMVD1gwnuY5dh3Sulnicy7Nr43qgJS9ORN29
fe2GJ0V5GsHl4LiqTNNult9UPqAsPVgwslOzA+0wQuJ7K7vqmRt0azSpeuTs+sO8TcDcdOdou0C5
WB2TZaI72Rww3bycndcRJbfnMj8G0/7DIMRU8M05j2n4GKtBEgAAyANNg69POZaajbi28Ic40u7/
8yDc13BUaIev05PRnJpWoivkG10BOD4FHpZ19jFvnj+NwvtCUBO4BtWSVShsOoOBUVoygFJptTMI
ypOno9J35JRZzsbfdziLHnklkxMGeSmUKpf999uppg0MHNVi8Mc0Be0yZM6toyXdOVQymFVg17x0
GtUjLJ/lK3wZFAQK709mD6xLoEGYl1mesRREa5d7q2le6kLVYqT8JQnoDH0S1Byj1M+CXvn7VYjP
AFE3PWpi4rXYoaHlUpGnNIVSQ0v9rpEgGQzmMTGeP307zpKFKUAgRSKzeqv2FOMLKAk/zQEmJkbW
71Fan49wAZX14bh8PJTVLYdsycBKbnU4YmYhMNrJB6TPwbsWWWV4NdzmKzFM9h43NxsQ/4iIplmo
/BFN2bRD2T7BbjrRxaCxnAbLTbL8rkLyMdaPeZSu+JPc+TwerEHicyJ0FWn2z28hVPsx7bktfQW9
ONULQMe+GqNSXTZxuZxFaXBjmqI4mclPSayVsL1G/MNoPNnM1NSTZrX4yzyIJ1o44Si3E90uTgif
n6jREyD6Cpgka+j1E1w3LJdAIdpm/XBs+66jwmUolBLIrjHYosS5ij0jxRmQEet6vwdiu2ADy/Ga
rqxWnsglDjCb72+V5cE/7yjOIcT+UTekCEpn6PPEjMoG7gnQ0hdwyLBjU0cAzFN6Isyq8AL0VM9m
TT6JRvWmkuVjIk1fpqrQzAcFS90LZhLb6vPgXRM0di8nIJHzAiVLcPvcQo0lMrRmo6xRjsz1y6pn
VyFYhGwniRKDLpvvtyNLXgDB2SRX/pTUl2CRHyuNbmtgTc9ZW8tHzosvRxWWArQwZFQjFzKUsYot
JSkvxsYGOhMkVreRJ0mcF/3cn5pdK24wRRZcZ0O2C5LQ3n7/Sb+czL9GXuIfXi87aTVyJjm9aFon
9c3JqmDHV2dNT4d1rqLnxqlOirI4Jhr65dRiRAJ2S0FGfUn+Vi8W/xkchiyTY7FuZK8CFQ7essz8
7+e1+nyImXAeLIRSZGH4Zy08lRu9knXWjJagkqA3m9tx1t6YuTlqHlaXjr3DczStjtw4qyXKoIu+
K5gSRoRouY7tCrjaqI43uW9VVfsTV9d0l3PDwSYwIu3l+wmuXuMyFmTEpXfBzQb6ZXXICJKQQEsV
+DldrFwHSRXcQZs+5hLwp1HAcGLFZRLwUAD5vAuCeYEctxDOtEZLkaKPkpdG06K/fW+sB0jORBdw
vzkzV1s7HuvQLGfem1Gh1LDNgeI9qPJUZdu+qdsjsf463aDogTEo0uXoSSANTxHi85ymWe2zWgDV
jdFVtU+tSqcSUoSaE3s2lr76tTzFBiCXop5m87IamuJpRvYOlz5kTZJNBi0Po14679Fz3mTNK6yU
Inm3ASucl1lUDBt8TrshQpNcRVkN2zCzPYhZbRFCSrBE+ctlwGRsekd8o0VBcx3k1Lj7SnPFZLQ5
cbxycULAICE4+X6UL7sJ31YuGvYl4FekOlcHvzk5tcA7KfMdB56fm+vdWPgDCYztdXItPSvcPsbf
xb98pkWQE2FZgJqIDK9n1km26GajyMEC2PVmSBADMuKxPJJvr1igyL0yDM1yYjTmR4a/2kd0bvtA
OAhf1yP8YRjv4cUAqw4HrHrGrsCubutsViH+xOG27cdo09mgdxSlHndW3YYnkACVh+/f9pdNtzwS
kqT8q3Ikr9niud3pcZ5Eue9kBFFxYgzbBJ33IzP/4yhEjTjLLpequkr8x3GK8xzIFVxTI761oyi6
GhLpmKDtn0bh+FiKGYvIyNLR/f0alVpbKrRGz/wqVudD3OPRp8ZK8d9YK0QEmOQRB8JyWW1pHFAN
LMSdjChbJFt7HFTfsKRjcjR/nAszodDEQMav2upvIcEMB6ImioSDFCjZB0p4SLKEC4vt+8+/upJ/
rUh7EWQBzUuLQl+dhtybLQQZhsnaUrqWErDzBUQPX+mibkddLj21Yqhh3w/65epizXFtUS4gvGNq
qzc4x12IWYGS+bYd9L6SjvKJnkqSh+VIfvf9UF9fIwcIMSTxDrNklX9eEincGSxWxsinmkpipBR1
cZbgcl7534/zdUqsBVQeFIJrMCrriilMHx2DHQqxRZiajxW8k6J2cS5WUQQyOlV7/364r58NURui
twWHQtq3nlamNGbLdc1wpbD2DaeEscUewimgE8EySachPZH5tLu/HXY5LdANoxdCsXvBuP6+wZKp
SDRpyiTPlIt62JhKK2F0VEvlZdc3k4GjwRglfpjnzZHK6yoZYJkuS4bVqCEaJBO3fh54bBTRjbAz
OSmH4BCVVn6aWmGyQ/x98kI4CTv42NJFrWiJL+c4N34/769XEhUe/M7AnS8NrnXVHVRHM2aZFHiW
HMfCVZ05yrc5llUIaOQaBWHYcKDxvh/069Jd9GKwqOBmIhNei5XYQi5z3YRdGMCv3kiYrblDkoxH
Rvm6cBmF96suekAIW6xOZgc9lJZKXeCNDbyTswYfVR1fYKAiMBlZWEcugi/DEXUhP0K4yli071Zl
hLCH8Nnbs+Tpwyzv+jy5z4BOn6igK4+cbF9eH+sEl1isJuAMwPdfLRmp7fumiRDol7so2toz/RgQ
9cd8f75sxGUUulwsTEJXLrfPCzOEwVZKEJA9MdTFjWr38XNNMPGE6ICOR6ozYRbFuXT3/dL48hYZ
lRvuV2rKjli/RTqSjtb0KnzSYCz2+DnbQGYVdCGbJtx+P9Qygd/ScBTq8dIGhIZHE70gZCk/TxDu
q6PPeml5kWo190iSjeLa7DMJLnCCIlt4TkZr6bsu6UJUZDQxF+PfBuwkHUs1iMIyfxMUr89PgNhR
Q68qMzxt4KqVKg02uyPn3X1Z2/rfJjrLWIaK8cySyX1xyJykPslLG5ZklPQVFGipPFf1+Fi++IfP
t9Cq4HcpBBJcTJ9nlEyiyCXqiF5eygvpSJfgv0JpBOpZK6F1rED4dbhlhwP6grpAk/KLGI+O3lnI
7eglvSkOSYqWQ1CMyuUiRb35frX8cailWEP3n/Ld2pQzRGAjyqaOmaHPMCE9X+tPUy0Z+Jz0qnQk
jPi6w5nXb4OtlqYSV2mA0YvuhYMYtpVaDG5X1PmRs/9PU6LwTryyCJcCQP38sTiEJzDhQl/kLi00
J7vGugkjyz6D9Wx0/433Z3Eg49GKEiEVi8+DzXFGd7rn/UVaYGz1LsMJKdalMxXs8JF5fbnT4KIs
vRpkyRiLLuBqKBTgEjVhKMXq2+to1mx/tlN538fZBHOsyI9s4z98LaoVMnUnVYdYKK/eI6zrRovL
VvfKuLPuRC6HJ46Vl/73C/CPo8CH4MCidvelQNsqDr4HCdwGDLSSywLRxtO8T5K/TYSXd0e1fxHo
1Zb0/vO7G+GHlI6VscwhJbtwvaOdMszTkcXwhy+ko2SMXvSCqCEO+DwKf/Xc6oWseVIXWm98wWrT
mxArsBKmX6oWrTjy8pZP8PmsZ3lT+IRgtzifGasBqyBsJJoJ4DOkokXdBSqNDlSilt8pq9MY/f5T
fb064bVRFcHmDOUnKlifpxeLzDLqkNGMUXM85DS6xC1g/JyHQ5XAb3AuxSCHRwoypPXLLD7NEk0y
CgvcKShOAdhYnuu3zKoTyazOKbwTG/LzXaUE9XDSaXF3BpxHa321MpDYK9RWetKKMjtHH2ag0j9V
9iaX5sTapk7RWBDRu/gmTDT4CK2ujIDNEn32+sawYT5qYX6bVkGtuWZSjpgPm42WbQlRISsJxPxu
A7YC/OKuKw82pK3GC+0QDk2FiCAFPGlUf6i10T7lXTLDOgkr9EL7rlS3oTUHIGk6Xf+p88PnaQWn
xU81K0EVEAnXyNfDCndrlJU7sY3QELjLhVBOm2hBWJRIVuzlRLbe8ZZXTotcC7pdWgfJmREjQbrj
9w4ir60BAahYjKjDeshOGmlIQ3xGZfO11Clmoc5Iqdjt2rQ8a6sGWxr445K1nRpLrd0kScKnOpCr
HmJCuxCm5UTDb0Sesv2AfxOVMCEwta9wMX5IIxGEvKOgvyPZTZ960QWZm3M9pti6K8pNX1bJ5KcT
171LkBc/QkBoZ5cKYjltlXls30JFKhOI/m1659iZNp0WRWc/NNJcXINoglyWx5J+J7QyfkDcp4sP
fWVaJebrlmjcuqV5kYVz6riqUuW4ZgQdrBy5qiVUXubkMVSI4LwuKu1+U5utTSsgMcaOpjWSrC6b
ZThHJzlHzrND/wZAmDbMyH2GyEXpczWcYKWK+rkd6RrKrvDsnybFjJ40qZZMt2lH1TiVUpt93IO2
eMdipz8jzuelTW1TnstGPTZuIM+oNYXQZjZaYtkviaxnqpsiD5J7Hbm1holDjHJVp2fdq1UNBvwz
jOcfRDM1LwMyn+fIBpnPNX1061CKKhrcXlj1Var2g+rmsFgUFzpFexMG0hB6qh7Uiae2UzVuZtOC
mlNW9Zz41iRyewNdTjs14hn+U0d2QOde1lApClMG87TU1k7bvspfU3XMrpxBlG99lDkPcOoSiD4U
eBH6avJnpdLbB/p20o+4VvSfYQEAzUW+wE5wdBzqemNBRDuNYp1AzIyFPm30HuMIpFF6bfSKCEku
JD4G00PDVLmzuwmuflk43VUr4sryCPBsc4vHRks6HJnZQWMBfURSAjQUFb9Wds0BRz7XTLXwVnDC
34nJmR4lW8Y/G8nYqUfxYEQIKNPtbvAiq1Y36pRALCIzRk+6pBcLj0hE82NGqXnYTrPU7hx1khas
aWoVRKp9BWVJ1+f7PBP1ISRTjjeSVulviH2UiWcpo5WemI6oN6h9GAFEH2in5AsBZldm2Dg3EpaF
/V6mVPZApWw2toXQpPMaiadnqUjG7hSkRHGQg7iK/cnUuuvYtjN9ixBOeJrOdZL4NB7hTY2Z3Kdb
rBRGcTqoRBTbuZ1xe7KE8Z6Z9nhj1gX6d8iBNKrb8ApaV8+7BotCdc7uILZF95LQ9Ut1aNE4CidU
fwCt5J3pdVlsP8/KWF/kCfsRolkeOhs6pKWxzRsl3wttHC2vaqXJ2cSaykGlWaOFDIQJdceNS1Ek
PspQGHboxCG8O0MYrwIeZONGqCjdcwmZ1q5vsZVzRwUa51aRVKR7VbSCi+1op8mVOkX4LQ+9Ydz1
imhRHtOmqHXHrukv2jnPRz5IW6RepVohks6ptKhTsekVb0DBMXSHvFZk36675mDJUfgWQ5vNXSuL
uqe+bdurWavC67IopGeVIsPHbCY1p8aY9VQXlTzzWThpupGhl01erAfFexzXOjYu5ZxFl7UMGpZ+
0zTdJnkO+qTDl/1nhfzRR8XSmvyRoFycKFNUCHeMTId5d+Je7fp2HxqSmrkJHEqUD1rzhQC+jrda
nw8XYA2Uj2DMi0spQWNrYyPM8DLUbGoXkSXt1cnLajzpyagrNx3S7DlCdk0GSuNYu3CkpICxQF3m
+y6O+59agHEQck/S+AoyapS3Du/73EhKJ+DV5axaEzT1Fq0ERd4EY8PfqYSSJlxbcoZ0p+axuI6S
QLqmKyu9TPI8XCz59vNQQq1FLV5T7rHEznsaqTFCKyouG9gSxSO138gY6YLoc02vMUsjfa8Vef+T
YKq7G8aexWbahbiVIf7+jCKNG2EchoWPlyn1S2hidOQGScBNYii5ytVcZDHHchsVnpB7Q0FXRg3u
0bRzCvkwFzH38K5D0f9akxGf2ZRTqxV+NWZVguuNk141etu9Ca0ITsexa3+isYVnU1/w4VhvLF63
atTujovNfEW6zeg5vpXxflF8eaoys2q2GjcR7oehkX9IY2M+O1maCazdqkbg9KhXMX15STwraazN
SM7K5oZ9BXkavEN2Bi07DN3IGpQOg/eh4e1YQ2uTc6Tpj3RGfB3ClxQn9IR1PXDlmpPPQ/+jv8/w
sBu8KuBJXYyb02iLgO/IJ23msN4P0VQbrowczOxPBLPqdjbDMnJta9aRtUsVRnVioUZb3azQQeZ8
N+4DezamE1Pq+1tVAjq4QRu4lL0APN8MlL8MazcYUB5zkY4Sz5pdM4vGjspyV085+ku6GJ2SQ1e3
H9o2QO6iQ4il8XvIkgkq6UGfuFMs8s7TiUdkWl9O/2NMZ+sNmSM09JDKUzReC5q1npMM9s9sKNSH
Gr+Egy6m5JmqW3MpteH8cxzK6qcUKSFmEegQli6I90DZce8nSFdKQe9VCTxPFzHE6CLQY0IgjNbi
aRukUJ+3Kr7RmMMvfOiUDq3si0aqDCKBATV2SS+l177L1NeqU8oeo9kmaXnxo82hk+kPMqhi9O66
LJh2ZioG1mEbosefZemIeXZAXImDBwFfwmwH0cU/VSfVLdwj61TapqIsyyekQJEdk7hfSl8GcXsb
G1rouJgrRPxQpMCA1WLe/a4rRPg+2Kj9bZPZluat1Of5I2EnjCYShGze4VnOjlFm2nZnaHHEwcko
ZmxWHbjKrduXfYQlkaZXEqvZbn4mwpD7LT1GXPC4lvrMjfJkgkoT51KyF1SXdYxigNwRnXGMWhQm
2szYUyRtmXSWyMmhb8MY1n2BhkqE8I+E5fWNjVyatNGHrrAeR+Tw7qwUvqZHabhJQzi3jRme0r+R
5nu0O2vzsqOfOJ+iVTRne6vAic5N457owovxQsgOUoY8z6bvyw55TiFP6XWkRWIfJtLU+aEmS/Je
EGureyM30u5NjwgyBdRTKc28nKpgtunLvJ+8ou+SaTf0dgzekAagE2xQb5JDPxKViPd6CkvlKZzn
KhhPaCLBkHcXTrGzB+yTt2eNMhH4cZzo/S3WZ1V/GEU06ddaxz0puzHQHlxeY8DB26kMB5Sr8wxo
22AI2zkZOCL0G42QJ/AG+o/JLYTkJv9hD2o6JSTfcho+WL0NP76zEMR8RKyxTWT2SZ+hZ9UapAz8
ScM+bfVa1It2aCeTEoBPctMq7yJqbkWiQHxNUTglSMvRVuMyMLaLlbG6a3LO6Tul5sOdodUQmXsr
bhuBQFUXyP5Ux5b4oShI8F4hSGgq1Sl6gRXwvwFMfoxSV2FF4t0OgqJ3k7gaim2tSbkMMLyLpHtL
bePssgbKnG+sJuyN2TcrI5D3JMOasxWo4sXPXUX/OycmIm1RPEvvu8gzprC5Lwc9nzZhD/jgzkZv
vveyItCQumtwaTyH7lzpNVJfiCG6IizLxxYliogoIVLSLb7vDZGeicj+Nm07jjStQjF3z6FZx6dV
1UuEUxhk1IqrEF20F5VcCA5XCB5ZvRVlLuZDF1BD+HBkZ8o2iLlp6otZFI19Xpp5J24qO4PC3zVx
tkSNbS3u4VJYy/U/5Nn0MCkd+r2uZfVBc5nPBe0It5aQ/ULIN2pI+RwkH97k1E4J1Tpa/VQkjOii
TMAJekiIZaeliOH0qwlKrNxZkOUnP5LqItvGUZQmZ04bxS3ElsQSV4o8lg1xk94/WYv65aXW0BRw
taaR+zeIHEaxsRGrehgTlSPatga99nW7yaGRZ7NzQwNMKTbahNqVF03AjzeIKQ3Frq8jRYXI31lk
FChRN/J2HhFr7VwlHu1okzRBXRHSIUllfSCpoQQXYysR3olp1n4Eo4gHD2Xaadr2XRqHN7maW5rf
qciZHii4Q7GQcw3DdEdCjggQZCLUu46PWGwHAknUZ4OkkF8VJ9PNE6sOBw1Zta6zyt1c4895PbW2
0riT0Xb5eZrYQXw+1wHooUlWUaDtpGGubulTjPVTL2lGejBElXQ/Br1EisRNI/I3N4vqRtk5gNTi
07BPOedibdCkbTc01UdgjO2jYs2oeAVS01un5mTgfyCHqpGciHAIbxwnanM31GlMerWsDdkhlOoU
MZQqhMXWU/Pe027WOs/Je9IoKmmScoUc7DQheziSs1Z2PHLkFENg+r1JdMT/whRPs65kt2YTblXo
9CWIWtAuSeLGK8dJoLqZFs5VCsYweI1npYj2aEpq9qEVk50+INXp2Ic4QUflLNJa1bgQPPh8Ienq
MJznZWuQfTpZ0xcbYlo9w+ocjOhJJY+s/3ZA/uQqyg0LLdcxGbX/xd217LiNZNlfEXrT3cDILVKi
KAHTBViPVKbz4axUpsvljRCSmGSIj6CCpCSqMcBs5iNmPatazG6Ws/OfzJfMCUp0KSha+WDAdlc2
0Cil0pfBGzdu3Oe5Jmy7re1/MBKnHn7aLpYbi27WAG07DyZ4zl2nEUNz+RRR8aGv+Y13Zodvobhg
A3XSh8RpsuVjajearn1OYwC43gJm0/+grSAuww3wK29bYQBfnSbBZJiEC/RtgGGLRwySASbygi06
zTPgBYYceA5xQgd49c6lB+TW+LLLG3DfPUB3vZtsAKDVczdGctU2uIGjEAWdYLg0HNsBNGqgP8Zr
QMsMEGDAzRC54XKGmYMdOGKRubldmKikw+kBok2PtV1MA3QjZjtnoIcqO71uGx/h4rLtaJtsvAcN
KJjboZ92Wn6/swREX69lxK2rdGGz5pCtmB6NItHv1IMDAgyXqI7Dg4IYoLENgblgPm75YrQCzl04
Strh6oolwG7vhV0n+YS72QeYmbaeABAPkRRALboL99IMKKeDhHbd9ZDq4XKoLVeNaTPCrPpzthDn
nDeWHDabGMRzhuxrOqBo2brHjiCKALNhchc7HuJ1jrEGZMxima5m7bXWngN8MAD+12qzvQtjP0WM
raEtr03eNCGwW934JeaLBKjQBor/lhtf2/ZjqlOyBCh2dLakK8AawqfEVHNgHYZtzL5pbBp2b+LR
dG6aEaprYZ1M2gsgjBkuMba+caV3gT8CaIyk2xgajcVqjAjJUhu2Fhofe53mtjXwMQFs019rYfJh
W29i0kOwRinxYI0Cul85Jsfa/fa6BVDjFHjNwA5tho3H5SZIW8ONhpxFP1034u35AhDcgC7mi9DC
xnlmL03rQEZEq5n9qYN5TAgMANoN8Kfd1uKjRn097Jt6jMvT7obBJxZpbvMsXNXTSU9vr+q/roPt
AshBLnM17Tw2EiAlpk0bVsgCTiIQFaJAA0DJZqWBxZuohQh2wMKp2VwwfzCpT4B0nGx8K9JpBB+W
JR+1tZOYfQp/HQtu1mGYO3AZHtDHtwaUY4Rg6CAKWpDc7qZN7xuUA7EljltAedHT1aMTIMDTT0MA
pI66C7s1500AGwIDxF+/b06AfNlrwzJG9LITu24PwcjkMm0Z2rxuLJJNb901k3ttjcKyjZsCBEVb
Itx3DqDo7rZvJH6ovdO9tRMMumubzYPYNRmcVU4/BjFiSPB3YPQP6ovGNoAV38JMc4d3V79OOq6G
OfW9LuwNTLaduAJvOfF08xKQo00AY09sge7S1BA7g2LBGDFYHezXja5xBhjveojkCfVs+GfNeAWn
1Pfb2wFf16FstQ2s2h7OcUeHnl1jjBZCSWveRwMUbffpNp3MMagH+nw1aXV9aHUgtvS6APS7hTEE
a9brTAD4DeMwspZ0gycDz9f2+7SDextFcRwVGXGs2e6F21rXO722TxftIQ8n9LHuJ7rRNzoL4+PG
7dJoMPGTJQ67m6wB7sM0BIiXyxV3blarCXWHE6i09TXteB60j9/x1n0XuEWwu9wwvIKtCMByx18B
xH7RiLa/tJpLZGLNlCcrIFctcUjcOFkmAxstZABzTjemZSeTtQNkZniv510DudTLFudobaM2i0i6
Bf5/31yFGu3HrdiBVRE3o7jnIrm2RjvMegNEIURaEJExWt44bHipf1OvOxgVqDtd+gnC6KX9Dq5c
bdCGUzRqOuEiuVgtARg/7CDQH0BxwIZAfapm6wOThZh+sO6ycDucTDoTILlixAzcnYYZGAMbOEgR
wPWXATB9EJqDKgq6CFkkG84AgWoy7abLfb3RW9oxBlSh1d3bABZQawXDep3TeGB24zbAvN2Ww8/r
k6DVvUhY3bASGtfhuTsIVA26gKC/W8f6ZtwFMjfCUMsQ8+wZahqXdBKhTbTLPa3XSgwg6gKFx+fD
UO+uUuB9Mz4Z6MsWBjt03G27MVwZKX30V8sOxcgi4GtfeGjns9sYDOmvNmM+caMEKE+GCBtFTfNm
0oEH00fJY8MCQKsHPx/m4mXoNzbRqLmNJ5gfC+8LSEtNfXUXJ2bzAceDx32OLPGVy5lm9Py6l9yg
rRVxDMCWA6WK1htDZiwwIU1bUxwfRL0eFjpmCUMWOo1fJ+iOosMuAyhSz2mi5KofdReeN6LaBv96
swgwltvYLhAJ15hpbHrcoQ2Mj/EmCO0iWlIf84VPbVzurDHTJrTd6dURmXEutuvY24wosh+dnr4K
wvebAFGAayR9gQuj2UkKuAN91b1cbNGjfemvYZADVNRtBOdhbPg2xgsw6Cq7E3UeOmEXWK8d2FN0
sEU1YmzfIbHh+Lcc3sYNNWH9D8xWHZGiScpmYd1s2X0/XnqP3eVye28gS7XtJUHU1BBbo94VdVca
aso2LdFqbzgfEdFDY7Ob8OBcYPVTXGhgMmJKafR+AzCfJtCOUxhIDeD7X/LYW3aHfqcNs9fYmO+g
ObeYqIvOud7WDtEqDRtvvRohpFo/jzfNxOkBKJgjcFVf8z0s6j8lEs5+0QKqZgj1HKc/JxZP75Am
wKCon/51N29UfHvLULRzz173R6cJ7TFy7tPQ+vufZmhOj8UKgGYXHCIoCqwZCYAxW1G23FMEPIK3
SuagrDffiMZQ9Fbtf5DT89ANsP8akfk3gHvomMDeQW8ZfnYPPODQ13hw+vV2zDz9N6fewMr25WL+
9z+JoV+VWFBvam9M1A6LJsDdO6JG7pAHpvYG5ZRIbIqGNzzqB3p5LKvq27ffwDxCrQfGgu5+kHKX
3t5400BvJEC5UMYtfvD9D8YEyGxFCWi9AQuQmc+lHFw95EEb37dFpRSwFrIf1PL9WDzIALMqMaED
lFWIk5azQMAsSDxovxHfQVfsxEA0kfxYPGij6qISC7TuG9ShovxPdG4dvrvZeIP6GgxwRklF9rOT
uB9JEbSrqkHcBEjIZjXP8sujwPMNcAxMaAEoxh9ry0UJSqUtb2HH0cSPKlP5pQE6DKhDpENE+Yz4
+eFUf+UNr+NaawKJHmPrC+/efdNEKy4mIqO0X/z8cNIu2uQqbbsGdEBMjGu0RYHZ4Unv4qQbaI8C
psNOzb1Ayz1DHXyxHvsO9eaZ3UitqMy8/Nof5CbT8fd7c0nYRMBv736BNMz+UtiRu4fvLCfx+SfJ
rMzMmoMvhZl78FH62+joj/fvfvisw19Jb1r6Cvkvz6nFCZ8haZZZePuXuiE+jNW3j7ZDAhrFRDKC
cXR/X+iRsfxFTk5S3lp8SuhCJoz7pDJh7lsBJTkhsTm4W6pS7ZHA9sjcipycVrbrChhxnZLAJ1wi
q2LBTlLcNBy8ymxApN2iOR3BAoEOWJVqn/hTNpf3rIUSyqp0x5zWrkjgSsLQQnFwVcI4dDKuvqik
rkr0HE5g7VL83/jtXU5OsDhrKqtK/SKYs8CKZCZrwOivvG5QLlJVcCzekVBWDegfqr7WSwxYQ7yx
cDJQAF2d9A3jsYP945YkbnD1q9MeMySSy2grONKXZEuQQDxiiYJzfUVYlL98JshN3O1VBfmazAg7
OiLCLK1MGWePeQVZFu2IlQkTb05XlswL4TspIEzS4pluK9i5GyskXr6+bOvElN+qy70lnMwsr3YR
eSSYy+wQgFPV6btHpgoaHRUQhu1Iw5BCgebEBFPQRpl/LI0aPssQGmMuOgmhNnJSGWVNgXTcO4QK
RkuEgbxdmc/3ZEGPOY1iKxWk6VrW+4AKU0A24a4wC4tqDo1J1Yk/bKdWCTsE0GFVif6Aoa4B8XNC
mWioUHXvIyDKrmoXaGVOwtrfakPUaLA42Z/Mw8ehraSh4EX2D7xMAhI5lOOR+X/SsoeawKHLV1Hh
aIWcxF5apm8wB0uF7XNN53PPqg1JFOfLFXuEprCT1KFFnqUb9lwbO9RluKDBtS//udOhhw9F+MA0
BWZWVaG7Jh5JCTYIeeX/+/f/jFzxacRTMidYwTmZMp/kuybpQ7MB2ESRHai6gnvqM16/sqJY0opo
2cXwKRWCYcEpcHNxj/42oISl8Jdo7eckmBOWv4HYS8w5QJpCwUMHzJ0zMPCeuHAjqS+ZiYgKAWpB
weZdkgQlNu7hGwCQC7BRIotQdV9uCWaH1meYjlWPoiSnJ7i0f4aCvR/D0y6hrEAHXZEwdgpmzY41
T14CZZGVL2mp/lciS3mA5eXf7zcqU/eoPft9kFpG6g8RWepjMt1cOgIqVNeIW1ZQtHlEpLmq5F9b
GzqT9AIwBKqTHROks2u3iMBxqwZTrXZNl5jMIqecdREKr/oCD8DOsua1cUzighErQH+qUu+DACde
7a1vcQwdzAlmAoxb4ZTnjhvkWXdhn3A6nVqycQjsPUAkCaCnr77Bjv73O8A7W0DSBa84wIfr3//z
w18NReg2j2tLz8q/yX95KibbIw6HQObMzPS6Ar2LAj+eYBt2WySoqrjoRohbQJzRpXVIOcNG+aos
PFPULnhBygS0a2WiESeW7FNrCpiLtS7zxWUbJmD7qq71HePzAgt0BSy4TNaESoZyVuBRdbVX1pQA
TzN/7YwLKi6T936BByJ1VXWxP6OIiedksqWKtH9VqmOSzGntLSdTOXylC2iKysRTXqCqIhS7v5DE
mmtDn8JTK9xLYiZe1aX/AheihtyNZA8DEqc65V8txBNyMmIfM3DHquu9YTUI3Z+jWtGGAXJR/rDX
+8MjBrK1cTKdIxCCe1o6ipieoEIt3yfBtMzhhgsCLEqBfFyVR2+nSe06iSQjY09dAY/+cTccD+8+
DAf/VhPCY3EwrCj/JqZMtIwMJhegPUBNFOiMp1+r7LL+Ng4ExjcDUyu//k85ELAhArzFUaZZTkuz
GWywJ/7mx0hdFy1RIL0Wt2n/ys+0C94G0N0ztLfKsofAS0W6hRB+VkxQEKiXrXSYcBZKsRM0zrWO
Dt/LiO4yXGUmfuajVlrw2wQaiRSSL0DNFXNp5JP1sjXvMmclaxZVdUcmzctovxcnQb4ZMcoIs5kA
pGq0mkANA57S0eX+smfcwlywWfEpIlbU0oEIiDlSQP9piOo5mUvJ79XLz3WwIDOkIIjtDoC7MOoN
03Axzh3BvZPmxHMf1CPAppmVuKIAWEFdmECIwvuhvhJTYhW817WFucgIn/ryVkGJo1miA1w8QGsB
7RDDTlU8jNgOt6Y5JWEYmKhzFv/DACoxC0KAb+Zfl1zlz2XiF3e4dmPFjsWFwYB/u5MC8ViAvHVR
SC7GHEBCdMDGNvOvv/rY73hLZcfxObfUgWT/M9xC3BZbIleLnMwNPPMu6iFTvZIlWoWL1uMEwHy5
oAg5EqMnd1JVIjbPXKywOqTbSEWSAKDszC/4OypyY8NZQuaM528teKAi1HfGrWDm1EYJReTzkLgY
vFKVwWcECCwifliSWjePrtCDI/TMDRwlqFKTVo2Af/Vlj5FiQnpTEg1AI1cnLCoN7ISkOSWxiZqY
fFKV0bcWT3IqO6Knrt5ncveBJ8XFAkc3f8zrj92JQd/QSXH6Ncrf7xoQFp/+LGflQIaProHD9Yt3
RBnu4a+G4uWrB0stj24lyVURsOgzlCjU7gouhooipKFXGxNvVVRtYvJR1UMxShC88ZE1zkmJk3Hs
FB1s2TMPBkoi58IqPaQLVz//+DX53bULnop034DBmYbISe3OsgJe3EJPyqldrfsk2TLpPCGzcitf
pfSi8In/gFaXZyMPJYmjgmDiW1EeKBFVcLP2WByh4kkiK2apVD2TPVQ7yfHJJ5PcTx+bHsqFUO2b
r04cGhUFVH2HzA9pHgcqXq467qwwmXpwM9ljDf5RDUAWtpS/FQNbqzJ5YPlshsg1HvP08xRIIArl
Lc7kVMfTscen97XPUG8j1+oap3Kqz1TfX7LCjyIUF3zhUc54IT8nXfznPoeEVu2DxefSdXwyKPJM
yoMFnaL2WpL49pPq/GmGD+00lKLvKop2h0vcwwA4QR4eXkYg16G3FeiUIQAuCuXtppZv5usv42Hs
UBbK6lpFwdU9jv0IrSUy5Y4C82GEGjhJuYqm8KrKZIROK+kaOI59vlwNHgsCSiaqr7X/+X9iqzb/
88WKUblyWVNxeV1aQSqxQnTXVWbwFZ0WrQLtOCXwch6jThGojdLlAjR4JestcKGl4A6/RtmVTSLY
v/kKM9tXxTVyTVIWyyWbmCGVP+b1CkIUpK4lHawJGI6qBw5kC0QVnOJrXKSzQqWYirzqNUGsJKZy
HQ3AEVSwQVAuZjI0FdfcNdsK/YuStnyZmay1FYjxDYWJL1FVcWVkVOX7IhugWFXUdmq43qNRROT4
0XES6uUK6O7zb0lQwKnRBFpE1WXfwTORizQxV7E62bGVzhzL8woFHw0FK97n+zKDM1+okDmMask/
vl4Pja3AsuUCYl0MM6zK5rGo/yS1Kwsdmjm1bNFi6GZl4qjWL+ZVVdSzjZNCiRhSTNVXe89kL01X
kX4Yf/4vVrtn/uffshrbW/75v4MZlfPjmB6tYPU4hoUUqt5UcGDuSbAtKmhdRYnbg310wFU0XiNO
4CKwXzsjkWQW6Sr6pIFMQAs2va4kQIo4DDJ1kkmAWWPVpeLTkQ+CGdsKyFJ/SqZrWWOoKFHc6dDj
860iUdVD79c9jDkpxYg6ierseDtNZWQCzEQCmgzmL2NWECaaayW1JMWr9vvFYXflOX/ESCxqc2WD
SsVeA8wAN2YuNOKuVGA7ZDVI8lo1Bcq7ZwEONpF7OBVETXoY+UNJdqGdW3xr2cBYl+MHupEz6PUm
DxZPCsX7KlxxIOra6OeQdrCpYLkDS2CpSNW+YtRcVRvqgoMNciO1Ch9mCDD/wuFAqWbl1fa31gwt
ejkhcTrEEPiqTDijR51VpgKH+YxwZpXVLaioAzhDJ8dMuiE7Ck70iE5Rq1io41eBMzAC6mkQWWm+
WWLrns4ePh1uHlkcZeUyWRV8QLedzF0VTmefM9hhkvji7s5Z8npVdp4AaIFLTAC6YnW6F4C0KCgH
wDYqoBsTT16tmMRe9RS/s3hBwDQxJ7syWaR3EP6TWyIwpLc65SsSF+rcMC5aAVkaO0nRNNFUZB7H
HlsRtyDAKrKNVxR6PbYCdCXIqd1skG/VHbxKNhZguBJu58wV2geDwPOPrz9518ybgyc5oYyuGHtf
dcnXLCDFUKuCI4K4cCwvVoW79pUy3Wysb1VGoDJ/XSh2U3E134p+oXm+T9m2qWjguQVSVlKIo2kq
mrTvEOoq2FPA08zX/3r5FSca5RSSTKBHQwHhTGuiBlKOkqjwOsZhoZMXVeAKFrwi3pRwSSaAWaqA
8Nqay5eHrqKRdbymMYAmi2Ksq7jyHlzRLC0Zl+iTqM6Kh12n/iVwoeZMdhtVZCs/iHIVyF0fBaD5
YsXR1pVk6liAC8qyuSzQKryaMfBCC0dQRfEBCqYtUSN0Xej1NTQV5fS7lilA1llAX5RXL4agK7is
LlmEQU2HGwlw5RZGxue/er3a+/wf4tyUuWZmC/D8QCVHfK2DzlRANj/5uO8XWivrv6kaaDt8G8Hg
0xXGh389PCw+VljIicapPyQAcWnLpfF0DXAZz79NSe0XTJJvK2S7KIBUDJwv4FQl9FueTCXDRsEN
hj5ZioaGLDbZI3yKTGGujbKbJv/wetWEUlxM2ZKLcVVAJorVokI+yleY2bwKtLQoRQO6CirDJdIq
cBT6JIXVW6alVbhu/YJ0qKi7GTAfaTa5iVqFh5XTLS80VYG3CnipImqVCocI/RNzgD4lckZaRWXI
OfBWqCTMKuDz3kGOC/unqWh+uSZcJGCL5UIqSpERKogjUWURS9xQUX18i6BtzETPjmSG6SoQO3b4
YJc0jqNMm95YKyprEBXgnLunXCUz2ULVVdin9/Bu6ZzMs+Xfsym62Q93QFcRIrxHucGOP33IJYvK
lKGuIm21Y9QHipwCYNuEcSxaC3Za4QgcWEWxZk/U/EVO7QPlNi1V8oAiyfn5+uv0YXzyCQoiHT2E
6gqVwrqK1rM+2sOAB56zIDMvVBQCjolsFeliZEvVMB2gnuPaEEgXcMHlQk6MBVdAPgMThAkTO59/
8yxfcu8NFSmJ7AWuCZ4gx2pQZaGigWF3vHa3QO0vu9zdX3O+iK1tAsngyfKB72f57/BKcqs7M8X3
ziGM89+F559vCkwZOIuK+CfCI4/Mc/f6+nCn24i/ANixi6FIWqvTAcDMk9HL77fvZagvf0Ap2GF7
Ag+L+Exy6FSolh5S1EU/UcHNNhYgEaz05lQx9KPPhLnxl0sLzeCB/dcyw0OFGZCFEQUUGXSjgI8o
e46KhFqfsfwwSlamocAFPqMLyRNRMVDiDEkDARyY49pmgVw648eTbk5CxD6zGXCP4IGsWHo0Seck
xO3L6Gfll2KzhX35BXJMDDIqAPwoMBngeUoZhmO4quR3IKlnvsa5hQTRXkKzd7ieDWD9efnvJMlC
3WOu9l9vvl4C8XwKmyqnlEVtVNRz9x0OpEQEbUpuKE1FvdqNta71iVeSHVCRMrmhhcYbFQmTDyRA
m2ki8VqFcXyDBieZqoozKxj8yUL/WCGP3WnmL/B6sbul8QxOTenlArA0BQ8gIaKo4hVK2jjV4Pl7
xXYkBccRl1QEnP3yOT8qYEF2fsK55SEa9y+1txG88QjtT7sQgzixiIdiVkU/CRzJTgGGXfVNuWcu
6r0kSdVVmBL3ACiQV6ticth9gox9YbEKJPMXbC/dhVzOkhhDXXK+Zg64iiDxkZGpq+ii7IsxTiJc
lx/aw3Ub8C5NE6B5GLsNlJmWoaKGZp/N3+HuA94/YLz2PsFUGtiLpWacKSaBNMQAcLg/gJF8unH/
Ozo+JUCUVR2fw7fZe8+Hvxoe5k+/TUKvDAXz277lK3N7I4shbCidTRVj1u6SqNjkpiKrcP/5f9E1
llqHRxIYp/nHr93TZcLxbeSiDK7028pF2bsfjDaWFiMdnKcKD/ahTqHNy3BSJcL7Q/qSENfhun+M
M16GlvqDveUh00o2c1+CMvPgfv30/wAAAP//</cx:binary>
              </cx:geoCache>
            </cx:geography>
          </cx:layoutPr>
        </cx:series>
      </cx:plotAreaRegion>
    </cx:plotArea>
    <cx:legend pos="r" align="min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7EA0B839-C303-4D89-9E40-406BA5BD84FF}" type="doc">
      <dgm:prSet loTypeId="urn:microsoft.com/office/officeart/2005/8/layout/process1" loCatId="process" qsTypeId="urn:microsoft.com/office/officeart/2005/8/quickstyle/simple1" qsCatId="simple" csTypeId="urn:microsoft.com/office/officeart/2005/8/colors/accent1_2" csCatId="accent1" phldr="1"/>
      <dgm:spPr/>
    </dgm:pt>
    <dgm:pt modelId="{BE6A0910-30BA-4DEE-888A-A154B8431070}">
      <dgm:prSet phldrT="[Texto]"/>
      <dgm:spPr/>
      <dgm:t>
        <a:bodyPr/>
        <a:lstStyle/>
        <a:p>
          <a:r>
            <a:rPr lang="en-US"/>
            <a:t>Recopilar datos </a:t>
          </a:r>
        </a:p>
      </dgm:t>
    </dgm:pt>
    <dgm:pt modelId="{7C2D6BAD-383B-46C8-8D17-248C7B9B5D32}" type="parTrans" cxnId="{18438F91-3FD8-4A5B-AC0B-EB770FA119AE}">
      <dgm:prSet/>
      <dgm:spPr/>
      <dgm:t>
        <a:bodyPr/>
        <a:lstStyle/>
        <a:p>
          <a:endParaRPr lang="en-US"/>
        </a:p>
      </dgm:t>
    </dgm:pt>
    <dgm:pt modelId="{FC457A31-DA5F-4F87-9F6B-5DA20A29F28D}" type="sibTrans" cxnId="{18438F91-3FD8-4A5B-AC0B-EB770FA119AE}">
      <dgm:prSet/>
      <dgm:spPr/>
      <dgm:t>
        <a:bodyPr/>
        <a:lstStyle/>
        <a:p>
          <a:endParaRPr lang="en-US"/>
        </a:p>
      </dgm:t>
    </dgm:pt>
    <dgm:pt modelId="{FFED0CC8-C8F2-4A38-B3D0-938AD75E00FE}">
      <dgm:prSet phldrT="[Texto]"/>
      <dgm:spPr/>
      <dgm:t>
        <a:bodyPr/>
        <a:lstStyle/>
        <a:p>
          <a:r>
            <a:rPr lang="en-US"/>
            <a:t>Analizar</a:t>
          </a:r>
        </a:p>
      </dgm:t>
    </dgm:pt>
    <dgm:pt modelId="{2E7A4AD1-0BF8-42B3-AD66-53C4D8FFA19C}" type="parTrans" cxnId="{4D84B46C-3168-47B2-91CF-75FD8398A9EF}">
      <dgm:prSet/>
      <dgm:spPr/>
      <dgm:t>
        <a:bodyPr/>
        <a:lstStyle/>
        <a:p>
          <a:endParaRPr lang="en-US"/>
        </a:p>
      </dgm:t>
    </dgm:pt>
    <dgm:pt modelId="{2D60FF9A-8E70-4898-A7FA-969EF501C16A}" type="sibTrans" cxnId="{4D84B46C-3168-47B2-91CF-75FD8398A9EF}">
      <dgm:prSet/>
      <dgm:spPr/>
      <dgm:t>
        <a:bodyPr/>
        <a:lstStyle/>
        <a:p>
          <a:endParaRPr lang="en-US"/>
        </a:p>
      </dgm:t>
    </dgm:pt>
    <dgm:pt modelId="{B2C3BA57-537B-405E-919E-313BBECBFDBC}">
      <dgm:prSet phldrT="[Texto]"/>
      <dgm:spPr/>
      <dgm:t>
        <a:bodyPr/>
        <a:lstStyle/>
        <a:p>
          <a:r>
            <a:rPr lang="en-US"/>
            <a:t>Presentar</a:t>
          </a:r>
        </a:p>
      </dgm:t>
    </dgm:pt>
    <dgm:pt modelId="{5821CBCD-E704-4B2A-8CD7-25CC4CD605B4}" type="parTrans" cxnId="{D96C7558-450E-48AB-BB3D-7D6383B3A258}">
      <dgm:prSet/>
      <dgm:spPr/>
      <dgm:t>
        <a:bodyPr/>
        <a:lstStyle/>
        <a:p>
          <a:endParaRPr lang="en-US"/>
        </a:p>
      </dgm:t>
    </dgm:pt>
    <dgm:pt modelId="{C30F25C0-7C20-4719-B13C-E0D3C7BC5437}" type="sibTrans" cxnId="{D96C7558-450E-48AB-BB3D-7D6383B3A258}">
      <dgm:prSet/>
      <dgm:spPr/>
      <dgm:t>
        <a:bodyPr/>
        <a:lstStyle/>
        <a:p>
          <a:endParaRPr lang="en-US"/>
        </a:p>
      </dgm:t>
    </dgm:pt>
    <dgm:pt modelId="{842F2A58-50C3-4788-AD6D-1134765C03AC}" type="pres">
      <dgm:prSet presAssocID="{7EA0B839-C303-4D89-9E40-406BA5BD84FF}" presName="Name0" presStyleCnt="0">
        <dgm:presLayoutVars>
          <dgm:dir/>
          <dgm:resizeHandles val="exact"/>
        </dgm:presLayoutVars>
      </dgm:prSet>
      <dgm:spPr/>
    </dgm:pt>
    <dgm:pt modelId="{7B875D58-62DA-41D6-B30D-D91A8A1791C5}" type="pres">
      <dgm:prSet presAssocID="{BE6A0910-30BA-4DEE-888A-A154B8431070}" presName="node" presStyleLbl="node1" presStyleIdx="0" presStyleCnt="3">
        <dgm:presLayoutVars>
          <dgm:bulletEnabled val="1"/>
        </dgm:presLayoutVars>
      </dgm:prSet>
      <dgm:spPr/>
    </dgm:pt>
    <dgm:pt modelId="{C89F7CD9-3856-4467-8BC0-F31534270786}" type="pres">
      <dgm:prSet presAssocID="{FC457A31-DA5F-4F87-9F6B-5DA20A29F28D}" presName="sibTrans" presStyleLbl="sibTrans2D1" presStyleIdx="0" presStyleCnt="2"/>
      <dgm:spPr/>
    </dgm:pt>
    <dgm:pt modelId="{CC78B4E1-9546-40EA-AB48-D60827BD028F}" type="pres">
      <dgm:prSet presAssocID="{FC457A31-DA5F-4F87-9F6B-5DA20A29F28D}" presName="connectorText" presStyleLbl="sibTrans2D1" presStyleIdx="0" presStyleCnt="2"/>
      <dgm:spPr/>
    </dgm:pt>
    <dgm:pt modelId="{9F73DD66-AA07-4244-8EF4-914B6B1F6F1A}" type="pres">
      <dgm:prSet presAssocID="{FFED0CC8-C8F2-4A38-B3D0-938AD75E00FE}" presName="node" presStyleLbl="node1" presStyleIdx="1" presStyleCnt="3">
        <dgm:presLayoutVars>
          <dgm:bulletEnabled val="1"/>
        </dgm:presLayoutVars>
      </dgm:prSet>
      <dgm:spPr/>
    </dgm:pt>
    <dgm:pt modelId="{2AC4342D-68AC-43E1-8FA6-134F29020265}" type="pres">
      <dgm:prSet presAssocID="{2D60FF9A-8E70-4898-A7FA-969EF501C16A}" presName="sibTrans" presStyleLbl="sibTrans2D1" presStyleIdx="1" presStyleCnt="2"/>
      <dgm:spPr/>
    </dgm:pt>
    <dgm:pt modelId="{E5EB1E97-7C25-4351-A2A4-C2A5B951AD27}" type="pres">
      <dgm:prSet presAssocID="{2D60FF9A-8E70-4898-A7FA-969EF501C16A}" presName="connectorText" presStyleLbl="sibTrans2D1" presStyleIdx="1" presStyleCnt="2"/>
      <dgm:spPr/>
    </dgm:pt>
    <dgm:pt modelId="{8D3003B5-35E6-4077-A5D0-A60D2FB82DEA}" type="pres">
      <dgm:prSet presAssocID="{B2C3BA57-537B-405E-919E-313BBECBFDBC}" presName="node" presStyleLbl="node1" presStyleIdx="2" presStyleCnt="3">
        <dgm:presLayoutVars>
          <dgm:bulletEnabled val="1"/>
        </dgm:presLayoutVars>
      </dgm:prSet>
      <dgm:spPr/>
    </dgm:pt>
  </dgm:ptLst>
  <dgm:cxnLst>
    <dgm:cxn modelId="{43FAB41C-9CFF-418F-B982-1F2BCE405ED2}" type="presOf" srcId="{7EA0B839-C303-4D89-9E40-406BA5BD84FF}" destId="{842F2A58-50C3-4788-AD6D-1134765C03AC}" srcOrd="0" destOrd="0" presId="urn:microsoft.com/office/officeart/2005/8/layout/process1"/>
    <dgm:cxn modelId="{925DFA66-8DDF-4399-8DC4-3A27EA651A4B}" type="presOf" srcId="{FC457A31-DA5F-4F87-9F6B-5DA20A29F28D}" destId="{CC78B4E1-9546-40EA-AB48-D60827BD028F}" srcOrd="1" destOrd="0" presId="urn:microsoft.com/office/officeart/2005/8/layout/process1"/>
    <dgm:cxn modelId="{1281834B-95F5-409A-9CC2-5781AD57D632}" type="presOf" srcId="{2D60FF9A-8E70-4898-A7FA-969EF501C16A}" destId="{E5EB1E97-7C25-4351-A2A4-C2A5B951AD27}" srcOrd="1" destOrd="0" presId="urn:microsoft.com/office/officeart/2005/8/layout/process1"/>
    <dgm:cxn modelId="{55F4784C-EA41-4035-8019-0A2CFCFFBE1B}" type="presOf" srcId="{2D60FF9A-8E70-4898-A7FA-969EF501C16A}" destId="{2AC4342D-68AC-43E1-8FA6-134F29020265}" srcOrd="0" destOrd="0" presId="urn:microsoft.com/office/officeart/2005/8/layout/process1"/>
    <dgm:cxn modelId="{4D84B46C-3168-47B2-91CF-75FD8398A9EF}" srcId="{7EA0B839-C303-4D89-9E40-406BA5BD84FF}" destId="{FFED0CC8-C8F2-4A38-B3D0-938AD75E00FE}" srcOrd="1" destOrd="0" parTransId="{2E7A4AD1-0BF8-42B3-AD66-53C4D8FFA19C}" sibTransId="{2D60FF9A-8E70-4898-A7FA-969EF501C16A}"/>
    <dgm:cxn modelId="{D96C7558-450E-48AB-BB3D-7D6383B3A258}" srcId="{7EA0B839-C303-4D89-9E40-406BA5BD84FF}" destId="{B2C3BA57-537B-405E-919E-313BBECBFDBC}" srcOrd="2" destOrd="0" parTransId="{5821CBCD-E704-4B2A-8CD7-25CC4CD605B4}" sibTransId="{C30F25C0-7C20-4719-B13C-E0D3C7BC5437}"/>
    <dgm:cxn modelId="{77E9E781-FBC1-49E7-8CD7-DB5334EA4D43}" type="presOf" srcId="{FFED0CC8-C8F2-4A38-B3D0-938AD75E00FE}" destId="{9F73DD66-AA07-4244-8EF4-914B6B1F6F1A}" srcOrd="0" destOrd="0" presId="urn:microsoft.com/office/officeart/2005/8/layout/process1"/>
    <dgm:cxn modelId="{18438F91-3FD8-4A5B-AC0B-EB770FA119AE}" srcId="{7EA0B839-C303-4D89-9E40-406BA5BD84FF}" destId="{BE6A0910-30BA-4DEE-888A-A154B8431070}" srcOrd="0" destOrd="0" parTransId="{7C2D6BAD-383B-46C8-8D17-248C7B9B5D32}" sibTransId="{FC457A31-DA5F-4F87-9F6B-5DA20A29F28D}"/>
    <dgm:cxn modelId="{190012A1-A942-4354-BDA9-2CD8B6D9ADCE}" type="presOf" srcId="{FC457A31-DA5F-4F87-9F6B-5DA20A29F28D}" destId="{C89F7CD9-3856-4467-8BC0-F31534270786}" srcOrd="0" destOrd="0" presId="urn:microsoft.com/office/officeart/2005/8/layout/process1"/>
    <dgm:cxn modelId="{05FCA0B7-D8B2-4166-83BA-1961376597A3}" type="presOf" srcId="{B2C3BA57-537B-405E-919E-313BBECBFDBC}" destId="{8D3003B5-35E6-4077-A5D0-A60D2FB82DEA}" srcOrd="0" destOrd="0" presId="urn:microsoft.com/office/officeart/2005/8/layout/process1"/>
    <dgm:cxn modelId="{222B2BC1-F8F1-4F34-8E39-98FF4D6A155D}" type="presOf" srcId="{BE6A0910-30BA-4DEE-888A-A154B8431070}" destId="{7B875D58-62DA-41D6-B30D-D91A8A1791C5}" srcOrd="0" destOrd="0" presId="urn:microsoft.com/office/officeart/2005/8/layout/process1"/>
    <dgm:cxn modelId="{D95A7A40-A699-467D-ADFF-0CCE3BB69248}" type="presParOf" srcId="{842F2A58-50C3-4788-AD6D-1134765C03AC}" destId="{7B875D58-62DA-41D6-B30D-D91A8A1791C5}" srcOrd="0" destOrd="0" presId="urn:microsoft.com/office/officeart/2005/8/layout/process1"/>
    <dgm:cxn modelId="{6B863BB9-47E4-4D20-B6B0-EBD5886F4136}" type="presParOf" srcId="{842F2A58-50C3-4788-AD6D-1134765C03AC}" destId="{C89F7CD9-3856-4467-8BC0-F31534270786}" srcOrd="1" destOrd="0" presId="urn:microsoft.com/office/officeart/2005/8/layout/process1"/>
    <dgm:cxn modelId="{43955055-34FB-4129-966B-5E4BB597EE59}" type="presParOf" srcId="{C89F7CD9-3856-4467-8BC0-F31534270786}" destId="{CC78B4E1-9546-40EA-AB48-D60827BD028F}" srcOrd="0" destOrd="0" presId="urn:microsoft.com/office/officeart/2005/8/layout/process1"/>
    <dgm:cxn modelId="{DEF85759-F8EB-458B-B9C0-185B470743F1}" type="presParOf" srcId="{842F2A58-50C3-4788-AD6D-1134765C03AC}" destId="{9F73DD66-AA07-4244-8EF4-914B6B1F6F1A}" srcOrd="2" destOrd="0" presId="urn:microsoft.com/office/officeart/2005/8/layout/process1"/>
    <dgm:cxn modelId="{62430953-5566-4F25-B86D-CE4B152B661F}" type="presParOf" srcId="{842F2A58-50C3-4788-AD6D-1134765C03AC}" destId="{2AC4342D-68AC-43E1-8FA6-134F29020265}" srcOrd="3" destOrd="0" presId="urn:microsoft.com/office/officeart/2005/8/layout/process1"/>
    <dgm:cxn modelId="{495DED68-2697-4E59-80A4-7A38A7E6480F}" type="presParOf" srcId="{2AC4342D-68AC-43E1-8FA6-134F29020265}" destId="{E5EB1E97-7C25-4351-A2A4-C2A5B951AD27}" srcOrd="0" destOrd="0" presId="urn:microsoft.com/office/officeart/2005/8/layout/process1"/>
    <dgm:cxn modelId="{C63EA529-0E04-4E81-B143-3A7E9BB4819B}" type="presParOf" srcId="{842F2A58-50C3-4788-AD6D-1134765C03AC}" destId="{8D3003B5-35E6-4077-A5D0-A60D2FB82DEA}" srcOrd="4" destOrd="0" presId="urn:microsoft.com/office/officeart/2005/8/layout/process1"/>
  </dgm:cxnLst>
  <dgm:bg/>
  <dgm:whole/>
  <dgm:extLst>
    <a:ext uri="http://schemas.microsoft.com/office/drawing/2008/diagram">
      <dsp:dataModelExt xmlns:dsp="http://schemas.microsoft.com/office/drawing/2008/diagram" relId="rId7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7B875D58-62DA-41D6-B30D-D91A8A1791C5}">
      <dsp:nvSpPr>
        <dsp:cNvPr id="0" name=""/>
        <dsp:cNvSpPr/>
      </dsp:nvSpPr>
      <dsp:spPr>
        <a:xfrm>
          <a:off x="2598" y="624247"/>
          <a:ext cx="776674" cy="466004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5720" tIns="45720" rIns="45720" bIns="457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200" kern="1200"/>
            <a:t>Recopilar datos </a:t>
          </a:r>
        </a:p>
      </dsp:txBody>
      <dsp:txXfrm>
        <a:off x="16247" y="637896"/>
        <a:ext cx="749376" cy="438706"/>
      </dsp:txXfrm>
    </dsp:sp>
    <dsp:sp modelId="{C89F7CD9-3856-4467-8BC0-F31534270786}">
      <dsp:nvSpPr>
        <dsp:cNvPr id="0" name=""/>
        <dsp:cNvSpPr/>
      </dsp:nvSpPr>
      <dsp:spPr>
        <a:xfrm>
          <a:off x="856940" y="760942"/>
          <a:ext cx="164654" cy="192615"/>
        </a:xfrm>
        <a:prstGeom prst="rightArrow">
          <a:avLst>
            <a:gd name="adj1" fmla="val 60000"/>
            <a:gd name="adj2" fmla="val 50000"/>
          </a:avLst>
        </a:prstGeom>
        <a:solidFill>
          <a:schemeClr val="accent1">
            <a:tint val="6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800" kern="1200"/>
        </a:p>
      </dsp:txBody>
      <dsp:txXfrm>
        <a:off x="856940" y="799465"/>
        <a:ext cx="115258" cy="115569"/>
      </dsp:txXfrm>
    </dsp:sp>
    <dsp:sp modelId="{9F73DD66-AA07-4244-8EF4-914B6B1F6F1A}">
      <dsp:nvSpPr>
        <dsp:cNvPr id="0" name=""/>
        <dsp:cNvSpPr/>
      </dsp:nvSpPr>
      <dsp:spPr>
        <a:xfrm>
          <a:off x="1089942" y="624247"/>
          <a:ext cx="776674" cy="466004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5720" tIns="45720" rIns="45720" bIns="457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200" kern="1200"/>
            <a:t>Analizar</a:t>
          </a:r>
        </a:p>
      </dsp:txBody>
      <dsp:txXfrm>
        <a:off x="1103591" y="637896"/>
        <a:ext cx="749376" cy="438706"/>
      </dsp:txXfrm>
    </dsp:sp>
    <dsp:sp modelId="{2AC4342D-68AC-43E1-8FA6-134F29020265}">
      <dsp:nvSpPr>
        <dsp:cNvPr id="0" name=""/>
        <dsp:cNvSpPr/>
      </dsp:nvSpPr>
      <dsp:spPr>
        <a:xfrm>
          <a:off x="1944284" y="760942"/>
          <a:ext cx="164654" cy="192615"/>
        </a:xfrm>
        <a:prstGeom prst="rightArrow">
          <a:avLst>
            <a:gd name="adj1" fmla="val 60000"/>
            <a:gd name="adj2" fmla="val 50000"/>
          </a:avLst>
        </a:prstGeom>
        <a:solidFill>
          <a:schemeClr val="accent1">
            <a:tint val="6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800" kern="1200"/>
        </a:p>
      </dsp:txBody>
      <dsp:txXfrm>
        <a:off x="1944284" y="799465"/>
        <a:ext cx="115258" cy="115569"/>
      </dsp:txXfrm>
    </dsp:sp>
    <dsp:sp modelId="{8D3003B5-35E6-4077-A5D0-A60D2FB82DEA}">
      <dsp:nvSpPr>
        <dsp:cNvPr id="0" name=""/>
        <dsp:cNvSpPr/>
      </dsp:nvSpPr>
      <dsp:spPr>
        <a:xfrm>
          <a:off x="2177287" y="624247"/>
          <a:ext cx="776674" cy="466004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5720" tIns="45720" rIns="45720" bIns="457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200" kern="1200"/>
            <a:t>Presentar</a:t>
          </a:r>
        </a:p>
      </dsp:txBody>
      <dsp:txXfrm>
        <a:off x="2190936" y="637896"/>
        <a:ext cx="749376" cy="438706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process1">
  <dgm:title val=""/>
  <dgm:desc val=""/>
  <dgm:catLst>
    <dgm:cat type="process" pri="1000"/>
    <dgm:cat type="convert" pri="15000"/>
  </dgm:catLst>
  <dgm:sampData useDef="1">
    <dgm:dataModel>
      <dgm:ptLst/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Name0">
    <dgm:varLst>
      <dgm:dir/>
      <dgm:resizeHandles val="exact"/>
    </dgm:varLst>
    <dgm:choose name="Name1">
      <dgm:if name="Name2" func="var" arg="dir" op="equ" val="norm">
        <dgm:alg type="lin"/>
      </dgm:if>
      <dgm:else name="Name3">
        <dgm:alg type="lin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w" for="ch" ptType="node" refType="w"/>
      <dgm:constr type="h" for="ch" ptType="node" op="equ"/>
      <dgm:constr type="primFontSz" for="ch" ptType="node" op="equ" val="65"/>
      <dgm:constr type="w" for="ch" ptType="sibTrans" refType="w" refFor="ch" refPtType="node" op="equ" fact="0.4"/>
      <dgm:constr type="h" for="ch" ptType="sibTrans" op="equ"/>
      <dgm:constr type="primFontSz" for="des" forName="connectorText" op="equ" val="55"/>
      <dgm:constr type="primFontSz" for="des" forName="connectorText" refType="primFontSz" refFor="ch" refPtType="node" op="lte" fact="0.8"/>
    </dgm:constrLst>
    <dgm:ruleLst/>
    <dgm:forEach name="nodesForEach" axis="ch" ptType="node">
      <dgm:layoutNode name="node">
        <dgm:varLst>
          <dgm:bulletEnabled val="1"/>
        </dgm:varLst>
        <dgm:alg type="tx"/>
        <dgm:shape xmlns:r="http://schemas.openxmlformats.org/officeDocument/2006/relationships" type="roundRect" r:blip="">
          <dgm:adjLst>
            <dgm:adj idx="1" val="0.1"/>
          </dgm:adjLst>
        </dgm:shape>
        <dgm:presOf axis="desOrSelf" ptType="node"/>
        <dgm:constrLst>
          <dgm:constr type="h" refType="w" fact="0.6"/>
          <dgm:constr type="tMarg" refType="primFontSz" fact="0.3"/>
          <dgm:constr type="bMarg" refType="primFontSz" fact="0.3"/>
          <dgm:constr type="lMarg" refType="primFontSz" fact="0.3"/>
          <dgm:constr type="rMarg" refType="primFontSz" fact="0.3"/>
        </dgm:constrLst>
        <dgm:ruleLst>
          <dgm:rule type="primFontSz" val="18" fact="NaN" max="NaN"/>
          <dgm:rule type="h" val="NaN" fact="1.5" max="NaN"/>
          <dgm:rule type="primFontSz" val="5" fact="NaN" max="NaN"/>
          <dgm:rule type="h" val="INF" fact="NaN" max="NaN"/>
        </dgm:ruleLst>
      </dgm:layoutNode>
      <dgm:forEach name="sibTransForEach" axis="followSib" ptType="sibTrans" cnt="1">
        <dgm:layoutNode name="sibTrans">
          <dgm:alg type="conn">
            <dgm:param type="begPts" val="auto"/>
            <dgm:param type="endPts" val="auto"/>
          </dgm:alg>
          <dgm:shape xmlns:r="http://schemas.openxmlformats.org/officeDocument/2006/relationships" type="conn" r:blip="">
            <dgm:adjLst/>
          </dgm:shape>
          <dgm:presOf axis="self"/>
          <dgm:constrLst>
            <dgm:constr type="h" refType="w" fact="0.62"/>
            <dgm:constr type="connDist"/>
            <dgm:constr type="begPad" refType="connDist" fact="0.25"/>
            <dgm:constr type="endPad" refType="connDist" fact="0.22"/>
          </dgm:constrLst>
          <dgm:ruleLst/>
          <dgm:layoutNode name="connectorText">
            <dgm:alg type="tx">
              <dgm:param type="autoTxRot" val="grav"/>
            </dgm:alg>
            <dgm:shape xmlns:r="http://schemas.openxmlformats.org/officeDocument/2006/relationships" type="conn" r:blip="" hideGeom="1">
              <dgm:adjLst/>
            </dgm:shape>
            <dgm:presOf axis="self"/>
            <dgm:constrLst>
              <dgm:constr type="lMarg"/>
              <dgm:constr type="rMarg"/>
              <dgm:constr type="tMarg"/>
              <dgm:constr type="bMarg"/>
            </dgm:constrLst>
            <dgm:ruleLst>
              <dgm:rule type="primFontSz" val="5" fact="NaN" max="NaN"/>
            </dgm:ruleLst>
          </dgm:layoutNode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diagramData" Target="../diagrams/data1.xml"/><Relationship Id="rId7" Type="http://schemas.microsoft.com/office/2007/relationships/diagramDrawing" Target="../diagrams/drawing1.xml"/><Relationship Id="rId2" Type="http://schemas.openxmlformats.org/officeDocument/2006/relationships/image" Target="../media/image3.svg"/><Relationship Id="rId1" Type="http://schemas.openxmlformats.org/officeDocument/2006/relationships/image" Target="../media/image2.png"/><Relationship Id="rId6" Type="http://schemas.openxmlformats.org/officeDocument/2006/relationships/diagramColors" Target="../diagrams/colors1.xml"/><Relationship Id="rId5" Type="http://schemas.openxmlformats.org/officeDocument/2006/relationships/diagramQuickStyle" Target="../diagrams/quickStyle1.xml"/><Relationship Id="rId4" Type="http://schemas.openxmlformats.org/officeDocument/2006/relationships/diagramLayout" Target="../diagrams/layou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svg"/><Relationship Id="rId2" Type="http://schemas.openxmlformats.org/officeDocument/2006/relationships/image" Target="../media/image5.png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13" Type="http://schemas.openxmlformats.org/officeDocument/2006/relationships/customXml" Target="../ink/ink7.xml"/><Relationship Id="rId18" Type="http://schemas.openxmlformats.org/officeDocument/2006/relationships/image" Target="../media/image15.png"/><Relationship Id="rId26" Type="http://schemas.openxmlformats.org/officeDocument/2006/relationships/image" Target="../media/image19.png"/><Relationship Id="rId3" Type="http://schemas.openxmlformats.org/officeDocument/2006/relationships/customXml" Target="../ink/ink2.xml"/><Relationship Id="rId21" Type="http://schemas.openxmlformats.org/officeDocument/2006/relationships/customXml" Target="../ink/ink11.xml"/><Relationship Id="rId7" Type="http://schemas.openxmlformats.org/officeDocument/2006/relationships/customXml" Target="../ink/ink4.xml"/><Relationship Id="rId12" Type="http://schemas.openxmlformats.org/officeDocument/2006/relationships/image" Target="../media/image12.png"/><Relationship Id="rId17" Type="http://schemas.openxmlformats.org/officeDocument/2006/relationships/customXml" Target="../ink/ink9.xml"/><Relationship Id="rId25" Type="http://schemas.openxmlformats.org/officeDocument/2006/relationships/customXml" Target="../ink/ink13.xml"/><Relationship Id="rId2" Type="http://schemas.openxmlformats.org/officeDocument/2006/relationships/image" Target="../media/image7.png"/><Relationship Id="rId16" Type="http://schemas.openxmlformats.org/officeDocument/2006/relationships/image" Target="../media/image14.png"/><Relationship Id="rId20" Type="http://schemas.openxmlformats.org/officeDocument/2006/relationships/image" Target="../media/image16.png"/><Relationship Id="rId1" Type="http://schemas.openxmlformats.org/officeDocument/2006/relationships/customXml" Target="../ink/ink1.xml"/><Relationship Id="rId6" Type="http://schemas.openxmlformats.org/officeDocument/2006/relationships/image" Target="../media/image9.png"/><Relationship Id="rId11" Type="http://schemas.openxmlformats.org/officeDocument/2006/relationships/customXml" Target="../ink/ink6.xml"/><Relationship Id="rId24" Type="http://schemas.openxmlformats.org/officeDocument/2006/relationships/image" Target="../media/image18.png"/><Relationship Id="rId5" Type="http://schemas.openxmlformats.org/officeDocument/2006/relationships/customXml" Target="../ink/ink3.xml"/><Relationship Id="rId15" Type="http://schemas.openxmlformats.org/officeDocument/2006/relationships/customXml" Target="../ink/ink8.xml"/><Relationship Id="rId23" Type="http://schemas.openxmlformats.org/officeDocument/2006/relationships/customXml" Target="../ink/ink12.xml"/><Relationship Id="rId10" Type="http://schemas.openxmlformats.org/officeDocument/2006/relationships/image" Target="../media/image11.png"/><Relationship Id="rId19" Type="http://schemas.openxmlformats.org/officeDocument/2006/relationships/customXml" Target="../ink/ink10.xml"/><Relationship Id="rId4" Type="http://schemas.openxmlformats.org/officeDocument/2006/relationships/image" Target="../media/image8.png"/><Relationship Id="rId9" Type="http://schemas.openxmlformats.org/officeDocument/2006/relationships/customXml" Target="../ink/ink5.xml"/><Relationship Id="rId14" Type="http://schemas.openxmlformats.org/officeDocument/2006/relationships/image" Target="../media/image13.png"/><Relationship Id="rId22" Type="http://schemas.openxmlformats.org/officeDocument/2006/relationships/image" Target="../media/image17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571500</xdr:colOff>
      <xdr:row>2</xdr:row>
      <xdr:rowOff>175260</xdr:rowOff>
    </xdr:from>
    <xdr:to>
      <xdr:col>9</xdr:col>
      <xdr:colOff>342900</xdr:colOff>
      <xdr:row>5</xdr:row>
      <xdr:rowOff>30480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C193CF04-2838-E89E-2BAD-271EAD70EB05}"/>
            </a:ext>
          </a:extLst>
        </xdr:cNvPr>
        <xdr:cNvSpPr txBox="1"/>
      </xdr:nvSpPr>
      <xdr:spPr>
        <a:xfrm>
          <a:off x="6583680" y="586740"/>
          <a:ext cx="1356360" cy="54102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Notas:</a:t>
          </a:r>
          <a:r>
            <a:rPr lang="en-US" sz="1100" baseline="0"/>
            <a:t> </a:t>
          </a:r>
          <a:r>
            <a:rPr lang="en-US" sz="1100" b="1" baseline="0"/>
            <a:t>Datos actualizados al 05/07/2026</a:t>
          </a:r>
          <a:endParaRPr lang="en-US" sz="1100" b="1"/>
        </a:p>
      </xdr:txBody>
    </xdr:sp>
    <xdr:clientData/>
  </xdr:twoCellAnchor>
  <xdr:oneCellAnchor>
    <xdr:from>
      <xdr:col>1</xdr:col>
      <xdr:colOff>935034</xdr:colOff>
      <xdr:row>0</xdr:row>
      <xdr:rowOff>148405</xdr:rowOff>
    </xdr:from>
    <xdr:ext cx="2259978" cy="405432"/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93DAEDDF-AC68-6458-9DF4-88D195629AAC}"/>
            </a:ext>
          </a:extLst>
        </xdr:cNvPr>
        <xdr:cNvSpPr/>
      </xdr:nvSpPr>
      <xdr:spPr>
        <a:xfrm>
          <a:off x="2017074" y="148405"/>
          <a:ext cx="2259978" cy="405432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2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Reporte</a:t>
          </a:r>
          <a:r>
            <a:rPr lang="en-US" sz="20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Anual 2026</a:t>
          </a:r>
          <a:endParaRPr lang="en-US" sz="20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16</xdr:col>
      <xdr:colOff>796290</xdr:colOff>
      <xdr:row>16</xdr:row>
      <xdr:rowOff>22860</xdr:rowOff>
    </xdr:from>
    <xdr:ext cx="532262" cy="17536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5C4ED2B9-3106-FD28-9237-E98CC033F9FE}"/>
                </a:ext>
              </a:extLst>
            </xdr:cNvPr>
            <xdr:cNvSpPr txBox="1"/>
          </xdr:nvSpPr>
          <xdr:spPr>
            <a:xfrm>
              <a:off x="14550390" y="3817620"/>
              <a:ext cx="532262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𝐴</m:t>
                    </m:r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100" i="1">
                        <a:latin typeface="Cambria Math" panose="02040503050406030204" pitchFamily="18" charset="0"/>
                      </a:rPr>
                      <m:t>𝜋</m:t>
                    </m:r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p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5C4ED2B9-3106-FD28-9237-E98CC033F9FE}"/>
                </a:ext>
              </a:extLst>
            </xdr:cNvPr>
            <xdr:cNvSpPr txBox="1"/>
          </xdr:nvSpPr>
          <xdr:spPr>
            <a:xfrm>
              <a:off x="14550390" y="3817620"/>
              <a:ext cx="532262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𝐴=𝜋𝑟^2</a:t>
              </a:r>
              <a:endParaRPr lang="en-US" sz="11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548640</xdr:colOff>
      <xdr:row>2</xdr:row>
      <xdr:rowOff>0</xdr:rowOff>
    </xdr:from>
    <xdr:to>
      <xdr:col>4</xdr:col>
      <xdr:colOff>403860</xdr:colOff>
      <xdr:row>6</xdr:row>
      <xdr:rowOff>68580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133E7C6C-BA20-29F3-4202-53B6FDCE3B05}"/>
            </a:ext>
          </a:extLst>
        </xdr:cNvPr>
        <xdr:cNvSpPr/>
      </xdr:nvSpPr>
      <xdr:spPr>
        <a:xfrm>
          <a:off x="2682240" y="365760"/>
          <a:ext cx="1440180" cy="800100"/>
        </a:xfrm>
        <a:prstGeom prst="rect">
          <a:avLst/>
        </a:prstGeom>
        <a:solidFill>
          <a:schemeClr val="accent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>
              <a:solidFill>
                <a:schemeClr val="bg1"/>
              </a:solidFill>
            </a:rPr>
            <a:t>Reporte 2026</a:t>
          </a:r>
        </a:p>
      </xdr:txBody>
    </xdr:sp>
    <xdr:clientData/>
  </xdr:twoCellAnchor>
  <xdr:twoCellAnchor editAs="oneCell">
    <xdr:from>
      <xdr:col>4</xdr:col>
      <xdr:colOff>525780</xdr:colOff>
      <xdr:row>1</xdr:row>
      <xdr:rowOff>106680</xdr:rowOff>
    </xdr:from>
    <xdr:to>
      <xdr:col>5</xdr:col>
      <xdr:colOff>647700</xdr:colOff>
      <xdr:row>6</xdr:row>
      <xdr:rowOff>106680</xdr:rowOff>
    </xdr:to>
    <xdr:pic>
      <xdr:nvPicPr>
        <xdr:cNvPr id="4" name="Gráfico 3" descr="Marketing con relleno sólido">
          <a:extLst>
            <a:ext uri="{FF2B5EF4-FFF2-40B4-BE49-F238E27FC236}">
              <a16:creationId xmlns:a16="http://schemas.microsoft.com/office/drawing/2014/main" id="{0464C20B-3317-6668-839D-61942D81DE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flipH="1">
          <a:off x="4244340" y="289560"/>
          <a:ext cx="914400" cy="914400"/>
        </a:xfrm>
        <a:prstGeom prst="rect">
          <a:avLst/>
        </a:prstGeom>
      </xdr:spPr>
    </xdr:pic>
    <xdr:clientData/>
  </xdr:twoCellAnchor>
  <xdr:twoCellAnchor>
    <xdr:from>
      <xdr:col>2</xdr:col>
      <xdr:colOff>281940</xdr:colOff>
      <xdr:row>6</xdr:row>
      <xdr:rowOff>129540</xdr:rowOff>
    </xdr:from>
    <xdr:to>
      <xdr:col>6</xdr:col>
      <xdr:colOff>68580</xdr:colOff>
      <xdr:row>16</xdr:row>
      <xdr:rowOff>15240</xdr:rowOff>
    </xdr:to>
    <xdr:graphicFrame macro="">
      <xdr:nvGraphicFramePr>
        <xdr:cNvPr id="5" name="Diagrama 4">
          <a:extLst>
            <a:ext uri="{FF2B5EF4-FFF2-40B4-BE49-F238E27FC236}">
              <a16:creationId xmlns:a16="http://schemas.microsoft.com/office/drawing/2014/main" id="{44812874-3CD0-4D52-B1A4-10BF62A2C7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3" r:lo="rId4" r:qs="rId5" r:cs="rId6"/>
        </a:graphicData>
      </a:graphic>
    </xdr:graphicFrame>
    <xdr:clientData/>
  </xdr:twoCellAnchor>
  <xdr:twoCellAnchor editAs="oneCell">
    <xdr:from>
      <xdr:col>2</xdr:col>
      <xdr:colOff>792479</xdr:colOff>
      <xdr:row>14</xdr:row>
      <xdr:rowOff>36751</xdr:rowOff>
    </xdr:from>
    <xdr:to>
      <xdr:col>4</xdr:col>
      <xdr:colOff>381000</xdr:colOff>
      <xdr:row>22</xdr:row>
      <xdr:rowOff>40561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D1FEA2B5-E94E-51D7-3E4B-D3845CA0F1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6079" y="2597071"/>
          <a:ext cx="1173481" cy="1466850"/>
        </a:xfrm>
        <a:prstGeom prst="rect">
          <a:avLst/>
        </a:prstGeom>
      </xdr:spPr>
    </xdr:pic>
    <xdr:clientData/>
  </xdr:twoCellAnchor>
  <xdr:twoCellAnchor editAs="oneCell">
    <xdr:from>
      <xdr:col>6</xdr:col>
      <xdr:colOff>327660</xdr:colOff>
      <xdr:row>8</xdr:row>
      <xdr:rowOff>144780</xdr:rowOff>
    </xdr:from>
    <xdr:to>
      <xdr:col>8</xdr:col>
      <xdr:colOff>571500</xdr:colOff>
      <xdr:row>22</xdr:row>
      <xdr:rowOff>38100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Region">
              <a:extLst>
                <a:ext uri="{FF2B5EF4-FFF2-40B4-BE49-F238E27FC236}">
                  <a16:creationId xmlns:a16="http://schemas.microsoft.com/office/drawing/2014/main" id="{D37F39C3-DB7E-B855-8576-B3794FBBE86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31180" y="1607820"/>
              <a:ext cx="1828800" cy="24536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632460</xdr:colOff>
      <xdr:row>8</xdr:row>
      <xdr:rowOff>129540</xdr:rowOff>
    </xdr:from>
    <xdr:to>
      <xdr:col>11</xdr:col>
      <xdr:colOff>83820</xdr:colOff>
      <xdr:row>22</xdr:row>
      <xdr:rowOff>36195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Estado">
              <a:extLst>
                <a:ext uri="{FF2B5EF4-FFF2-40B4-BE49-F238E27FC236}">
                  <a16:creationId xmlns:a16="http://schemas.microsoft.com/office/drawing/2014/main" id="{DCC067C6-9C9C-C51C-905B-67647028FD3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stad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20940" y="159258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190500</xdr:colOff>
      <xdr:row>0</xdr:row>
      <xdr:rowOff>99060</xdr:rowOff>
    </xdr:from>
    <xdr:to>
      <xdr:col>10</xdr:col>
      <xdr:colOff>358140</xdr:colOff>
      <xdr:row>8</xdr:row>
      <xdr:rowOff>7620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10" name="Fecha">
              <a:extLst>
                <a:ext uri="{FF2B5EF4-FFF2-40B4-BE49-F238E27FC236}">
                  <a16:creationId xmlns:a16="http://schemas.microsoft.com/office/drawing/2014/main" id="{E138C4FD-C97B-3EAE-6EB9-6FE2E6A6D1A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Fech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94020" y="99060"/>
              <a:ext cx="333756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Línea de tiempo: Funciona en Excel 2013 o superior. No mover ni cambiar el tamaño.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289560</xdr:colOff>
      <xdr:row>13</xdr:row>
      <xdr:rowOff>133350</xdr:rowOff>
    </xdr:from>
    <xdr:ext cx="65" cy="172227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C0444593-745B-3493-E370-E9FB0D20F551}"/>
            </a:ext>
          </a:extLst>
        </xdr:cNvPr>
        <xdr:cNvSpPr txBox="1"/>
      </xdr:nvSpPr>
      <xdr:spPr>
        <a:xfrm>
          <a:off x="6629400" y="214503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9</xdr:col>
      <xdr:colOff>426720</xdr:colOff>
      <xdr:row>3</xdr:row>
      <xdr:rowOff>87630</xdr:rowOff>
    </xdr:from>
    <xdr:to>
      <xdr:col>15</xdr:col>
      <xdr:colOff>243840</xdr:colOff>
      <xdr:row>18</xdr:row>
      <xdr:rowOff>41910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E360825-6652-9371-A5BC-C8CAC4E097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434340</xdr:colOff>
      <xdr:row>5</xdr:row>
      <xdr:rowOff>152400</xdr:rowOff>
    </xdr:from>
    <xdr:to>
      <xdr:col>8</xdr:col>
      <xdr:colOff>228600</xdr:colOff>
      <xdr:row>12</xdr:row>
      <xdr:rowOff>167640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FC8A8FAA-75CE-80BD-5CE5-908F94D14581}"/>
            </a:ext>
          </a:extLst>
        </xdr:cNvPr>
        <xdr:cNvSpPr txBox="1"/>
      </xdr:nvSpPr>
      <xdr:spPr>
        <a:xfrm>
          <a:off x="4983480" y="746760"/>
          <a:ext cx="1379220" cy="134112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twoCellAnchor editAs="oneCell">
    <xdr:from>
      <xdr:col>6</xdr:col>
      <xdr:colOff>617220</xdr:colOff>
      <xdr:row>6</xdr:row>
      <xdr:rowOff>121920</xdr:rowOff>
    </xdr:from>
    <xdr:to>
      <xdr:col>7</xdr:col>
      <xdr:colOff>76200</xdr:colOff>
      <xdr:row>8</xdr:row>
      <xdr:rowOff>7620</xdr:rowOff>
    </xdr:to>
    <xdr:pic>
      <xdr:nvPicPr>
        <xdr:cNvPr id="6" name="Gráfico 5" descr="Warning con relleno sólido">
          <a:extLst>
            <a:ext uri="{FF2B5EF4-FFF2-40B4-BE49-F238E27FC236}">
              <a16:creationId xmlns:a16="http://schemas.microsoft.com/office/drawing/2014/main" id="{0304D45E-F32C-0984-0A09-8572C457FA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5166360" y="944880"/>
          <a:ext cx="251460" cy="251460"/>
        </a:xfrm>
        <a:prstGeom prst="rect">
          <a:avLst/>
        </a:prstGeom>
      </xdr:spPr>
    </xdr:pic>
    <xdr:clientData/>
  </xdr:twoCellAnchor>
  <xdr:oneCellAnchor>
    <xdr:from>
      <xdr:col>7</xdr:col>
      <xdr:colOff>6628</xdr:colOff>
      <xdr:row>6</xdr:row>
      <xdr:rowOff>102948</xdr:rowOff>
    </xdr:from>
    <xdr:ext cx="884912" cy="781240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35F676A4-A46A-355D-EC35-D9A5A1E5C684}"/>
            </a:ext>
          </a:extLst>
        </xdr:cNvPr>
        <xdr:cNvSpPr/>
      </xdr:nvSpPr>
      <xdr:spPr>
        <a:xfrm>
          <a:off x="5348248" y="925908"/>
          <a:ext cx="884912" cy="781240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Datos actualizados al</a:t>
          </a:r>
          <a:r>
            <a:rPr lang="en-US" sz="11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</a:t>
          </a:r>
        </a:p>
        <a:p>
          <a:pPr algn="ctr"/>
          <a:r>
            <a:rPr lang="en-US" sz="11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07/03/2026</a:t>
          </a:r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0</xdr:col>
      <xdr:colOff>0</xdr:colOff>
      <xdr:row>0</xdr:row>
      <xdr:rowOff>190315</xdr:rowOff>
    </xdr:from>
    <xdr:ext cx="4823460" cy="593304"/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6E315DFE-E0AB-738E-EBB0-50A4F6B1E3FE}"/>
            </a:ext>
          </a:extLst>
        </xdr:cNvPr>
        <xdr:cNvSpPr/>
      </xdr:nvSpPr>
      <xdr:spPr>
        <a:xfrm>
          <a:off x="0" y="190315"/>
          <a:ext cx="4823460" cy="593304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32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Reporte</a:t>
          </a:r>
          <a:r>
            <a:rPr lang="en-US" sz="3200" b="0" cap="none" spc="0" baseline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 de Ventas 2026</a:t>
          </a:r>
          <a:endParaRPr lang="en-US" sz="3200" b="0" cap="none" spc="0">
            <a:ln w="0"/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  <xdr:oneCellAnchor>
    <xdr:from>
      <xdr:col>8</xdr:col>
      <xdr:colOff>419100</xdr:colOff>
      <xdr:row>9</xdr:row>
      <xdr:rowOff>133350</xdr:rowOff>
    </xdr:from>
    <xdr:ext cx="65" cy="172227"/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CCDD5B6A-5FD2-4E41-C6BA-625C994028C2}"/>
            </a:ext>
          </a:extLst>
        </xdr:cNvPr>
        <xdr:cNvSpPr txBox="1"/>
      </xdr:nvSpPr>
      <xdr:spPr>
        <a:xfrm>
          <a:off x="6629400" y="196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316797</xdr:colOff>
      <xdr:row>0</xdr:row>
      <xdr:rowOff>57555</xdr:rowOff>
    </xdr:from>
    <xdr:to>
      <xdr:col>14</xdr:col>
      <xdr:colOff>3075400</xdr:colOff>
      <xdr:row>12</xdr:row>
      <xdr:rowOff>129702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B715B44-18F0-1987-8B16-6092C70F11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248717</xdr:colOff>
      <xdr:row>0</xdr:row>
      <xdr:rowOff>80742</xdr:rowOff>
    </xdr:from>
    <xdr:to>
      <xdr:col>13</xdr:col>
      <xdr:colOff>182461</xdr:colOff>
      <xdr:row>12</xdr:row>
      <xdr:rowOff>158830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6A1EF6B-4436-0944-0A23-1847BF2C63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510700</xdr:colOff>
      <xdr:row>0</xdr:row>
      <xdr:rowOff>32423</xdr:rowOff>
    </xdr:from>
    <xdr:to>
      <xdr:col>9</xdr:col>
      <xdr:colOff>218872</xdr:colOff>
      <xdr:row>12</xdr:row>
      <xdr:rowOff>89170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F62F408E-F5A8-DECE-F67F-370B9714DC3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29260" y="32423"/>
              <a:ext cx="3670572" cy="246466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Este gráfico no está disponible en tu versión de Excel.
Si editas esta forma o guardas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426720</xdr:colOff>
      <xdr:row>0</xdr:row>
      <xdr:rowOff>76200</xdr:rowOff>
    </xdr:from>
    <xdr:to>
      <xdr:col>11</xdr:col>
      <xdr:colOff>594360</xdr:colOff>
      <xdr:row>16</xdr:row>
      <xdr:rowOff>60960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48547832-E9C4-C899-2DF0-0B03EF08A14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83180" y="76200"/>
              <a:ext cx="7299960" cy="29108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Este gráfico no está disponible en tu versión de Excel.
Si editas esta forma o guardas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617220</xdr:colOff>
      <xdr:row>0</xdr:row>
      <xdr:rowOff>121920</xdr:rowOff>
    </xdr:from>
    <xdr:to>
      <xdr:col>13</xdr:col>
      <xdr:colOff>457200</xdr:colOff>
      <xdr:row>15</xdr:row>
      <xdr:rowOff>121920</xdr:rowOff>
    </xdr:to>
    <xdr:graphicFrame macro="">
      <xdr:nvGraphicFramePr>
        <xdr:cNvPr id="2" name="GráficoDinamico">
          <a:extLst>
            <a:ext uri="{FF2B5EF4-FFF2-40B4-BE49-F238E27FC236}">
              <a16:creationId xmlns:a16="http://schemas.microsoft.com/office/drawing/2014/main" id="{E6119605-B169-21E0-7D32-13612839CF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792480</xdr:colOff>
      <xdr:row>0</xdr:row>
      <xdr:rowOff>83820</xdr:rowOff>
    </xdr:from>
    <xdr:to>
      <xdr:col>7</xdr:col>
      <xdr:colOff>220980</xdr:colOff>
      <xdr:row>13</xdr:row>
      <xdr:rowOff>173355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Region 1">
              <a:extLst>
                <a:ext uri="{FF2B5EF4-FFF2-40B4-BE49-F238E27FC236}">
                  <a16:creationId xmlns:a16="http://schemas.microsoft.com/office/drawing/2014/main" id="{B32D5585-0431-E98D-BC40-2775559DD02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25340" y="8382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784560</xdr:colOff>
      <xdr:row>4</xdr:row>
      <xdr:rowOff>99000</xdr:rowOff>
    </xdr:from>
    <xdr:to>
      <xdr:col>5</xdr:col>
      <xdr:colOff>784920</xdr:colOff>
      <xdr:row>4</xdr:row>
      <xdr:rowOff>99360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Entrada de lápiz 1">
              <a:extLst>
                <a:ext uri="{FF2B5EF4-FFF2-40B4-BE49-F238E27FC236}">
                  <a16:creationId xmlns:a16="http://schemas.microsoft.com/office/drawing/2014/main" id="{3FB506F4-9FC7-7298-4A75-2A6D71603578}"/>
                </a:ext>
              </a:extLst>
            </xdr14:cNvPr>
            <xdr14:cNvContentPartPr/>
          </xdr14:nvContentPartPr>
          <xdr14:nvPr macro=""/>
          <xdr14:xfrm>
            <a:off x="4746960" y="830520"/>
            <a:ext cx="360" cy="360"/>
          </xdr14:xfrm>
        </xdr:contentPart>
      </mc:Choice>
      <mc:Fallback>
        <xdr:pic>
          <xdr:nvPicPr>
            <xdr:cNvPr id="2" name="Entrada de lápiz 1">
              <a:extLst>
                <a:ext uri="{FF2B5EF4-FFF2-40B4-BE49-F238E27FC236}">
                  <a16:creationId xmlns:a16="http://schemas.microsoft.com/office/drawing/2014/main" id="{3FB506F4-9FC7-7298-4A75-2A6D7160357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738320" y="8215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457080</xdr:colOff>
      <xdr:row>4</xdr:row>
      <xdr:rowOff>113760</xdr:rowOff>
    </xdr:from>
    <xdr:to>
      <xdr:col>5</xdr:col>
      <xdr:colOff>388920</xdr:colOff>
      <xdr:row>5</xdr:row>
      <xdr:rowOff>68760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8" name="Entrada de lápiz 7">
              <a:extLst>
                <a:ext uri="{FF2B5EF4-FFF2-40B4-BE49-F238E27FC236}">
                  <a16:creationId xmlns:a16="http://schemas.microsoft.com/office/drawing/2014/main" id="{56F45AF3-555E-F518-235E-FFCD67AEEB91}"/>
                </a:ext>
              </a:extLst>
            </xdr14:cNvPr>
            <xdr14:cNvContentPartPr/>
          </xdr14:nvContentPartPr>
          <xdr14:nvPr macro=""/>
          <xdr14:xfrm>
            <a:off x="3627000" y="845280"/>
            <a:ext cx="724320" cy="137880"/>
          </xdr14:xfrm>
        </xdr:contentPart>
      </mc:Choice>
      <mc:Fallback>
        <xdr:pic>
          <xdr:nvPicPr>
            <xdr:cNvPr id="8" name="Entrada de lápiz 7">
              <a:extLst>
                <a:ext uri="{FF2B5EF4-FFF2-40B4-BE49-F238E27FC236}">
                  <a16:creationId xmlns:a16="http://schemas.microsoft.com/office/drawing/2014/main" id="{56F45AF3-555E-F518-235E-FFCD67AEEB91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3618000" y="836640"/>
              <a:ext cx="741960" cy="155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304800</xdr:colOff>
      <xdr:row>5</xdr:row>
      <xdr:rowOff>90000</xdr:rowOff>
    </xdr:from>
    <xdr:to>
      <xdr:col>5</xdr:col>
      <xdr:colOff>449760</xdr:colOff>
      <xdr:row>8</xdr:row>
      <xdr:rowOff>160920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11" name="Entrada de lápiz 10">
              <a:extLst>
                <a:ext uri="{FF2B5EF4-FFF2-40B4-BE49-F238E27FC236}">
                  <a16:creationId xmlns:a16="http://schemas.microsoft.com/office/drawing/2014/main" id="{0018B55E-043A-BD1C-02FF-42846F40732A}"/>
                </a:ext>
              </a:extLst>
            </xdr14:cNvPr>
            <xdr14:cNvContentPartPr/>
          </xdr14:nvContentPartPr>
          <xdr14:nvPr macro=""/>
          <xdr14:xfrm>
            <a:off x="1097280" y="1004400"/>
            <a:ext cx="3314880" cy="619560"/>
          </xdr14:xfrm>
        </xdr:contentPart>
      </mc:Choice>
      <mc:Fallback>
        <xdr:pic>
          <xdr:nvPicPr>
            <xdr:cNvPr id="11" name="Entrada de lápiz 10">
              <a:extLst>
                <a:ext uri="{FF2B5EF4-FFF2-40B4-BE49-F238E27FC236}">
                  <a16:creationId xmlns:a16="http://schemas.microsoft.com/office/drawing/2014/main" id="{0018B55E-043A-BD1C-02FF-42846F40732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088281" y="995400"/>
              <a:ext cx="3332518" cy="637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396240</xdr:colOff>
      <xdr:row>9</xdr:row>
      <xdr:rowOff>106920</xdr:rowOff>
    </xdr:from>
    <xdr:to>
      <xdr:col>6</xdr:col>
      <xdr:colOff>192900</xdr:colOff>
      <xdr:row>19</xdr:row>
      <xdr:rowOff>38160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">
          <xdr14:nvContentPartPr>
            <xdr14:cNvPr id="20" name="Entrada de lápiz 19">
              <a:extLst>
                <a:ext uri="{FF2B5EF4-FFF2-40B4-BE49-F238E27FC236}">
                  <a16:creationId xmlns:a16="http://schemas.microsoft.com/office/drawing/2014/main" id="{1DA18FA6-F678-8DDC-DBFD-41446E352044}"/>
                </a:ext>
              </a:extLst>
            </xdr14:cNvPr>
            <xdr14:cNvContentPartPr/>
          </xdr14:nvContentPartPr>
          <xdr14:nvPr macro=""/>
          <xdr14:xfrm>
            <a:off x="1188720" y="1752840"/>
            <a:ext cx="3766680" cy="1760040"/>
          </xdr14:xfrm>
        </xdr:contentPart>
      </mc:Choice>
      <mc:Fallback>
        <xdr:pic>
          <xdr:nvPicPr>
            <xdr:cNvPr id="20" name="Entrada de lápiz 19">
              <a:extLst>
                <a:ext uri="{FF2B5EF4-FFF2-40B4-BE49-F238E27FC236}">
                  <a16:creationId xmlns:a16="http://schemas.microsoft.com/office/drawing/2014/main" id="{1DA18FA6-F678-8DDC-DBFD-41446E352044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134725" y="1644840"/>
              <a:ext cx="3874310" cy="1975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568200</xdr:colOff>
      <xdr:row>12</xdr:row>
      <xdr:rowOff>88200</xdr:rowOff>
    </xdr:from>
    <xdr:to>
      <xdr:col>8</xdr:col>
      <xdr:colOff>571440</xdr:colOff>
      <xdr:row>12</xdr:row>
      <xdr:rowOff>91440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">
          <xdr14:nvContentPartPr>
            <xdr14:cNvPr id="27" name="Entrada de lápiz 26">
              <a:extLst>
                <a:ext uri="{FF2B5EF4-FFF2-40B4-BE49-F238E27FC236}">
                  <a16:creationId xmlns:a16="http://schemas.microsoft.com/office/drawing/2014/main" id="{AF1B65E6-7DE2-977A-A18B-CB22EA50AA1F}"/>
                </a:ext>
              </a:extLst>
            </xdr14:cNvPr>
            <xdr14:cNvContentPartPr/>
          </xdr14:nvContentPartPr>
          <xdr14:nvPr macro=""/>
          <xdr14:xfrm>
            <a:off x="6908040" y="2282760"/>
            <a:ext cx="3240" cy="3240"/>
          </xdr14:xfrm>
        </xdr:contentPart>
      </mc:Choice>
      <mc:Fallback>
        <xdr:pic>
          <xdr:nvPicPr>
            <xdr:cNvPr id="27" name="Entrada de lápiz 26">
              <a:extLst>
                <a:ext uri="{FF2B5EF4-FFF2-40B4-BE49-F238E27FC236}">
                  <a16:creationId xmlns:a16="http://schemas.microsoft.com/office/drawing/2014/main" id="{AF1B65E6-7DE2-977A-A18B-CB22EA50AA1F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6854400" y="2175120"/>
              <a:ext cx="110880" cy="218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304800</xdr:colOff>
      <xdr:row>14</xdr:row>
      <xdr:rowOff>121680</xdr:rowOff>
    </xdr:from>
    <xdr:to>
      <xdr:col>8</xdr:col>
      <xdr:colOff>2940</xdr:colOff>
      <xdr:row>15</xdr:row>
      <xdr:rowOff>99360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">
          <xdr14:nvContentPartPr>
            <xdr14:cNvPr id="32" name="Entrada de lápiz 31">
              <a:extLst>
                <a:ext uri="{FF2B5EF4-FFF2-40B4-BE49-F238E27FC236}">
                  <a16:creationId xmlns:a16="http://schemas.microsoft.com/office/drawing/2014/main" id="{C67A8BD1-369F-FCFE-3888-559576FB61C9}"/>
                </a:ext>
              </a:extLst>
            </xdr14:cNvPr>
            <xdr14:cNvContentPartPr/>
          </xdr14:nvContentPartPr>
          <xdr14:nvPr macro=""/>
          <xdr14:xfrm>
            <a:off x="5852160" y="2682000"/>
            <a:ext cx="498240" cy="160560"/>
          </xdr14:xfrm>
        </xdr:contentPart>
      </mc:Choice>
      <mc:Fallback>
        <xdr:pic>
          <xdr:nvPicPr>
            <xdr:cNvPr id="32" name="Entrada de lápiz 31">
              <a:extLst>
                <a:ext uri="{FF2B5EF4-FFF2-40B4-BE49-F238E27FC236}">
                  <a16:creationId xmlns:a16="http://schemas.microsoft.com/office/drawing/2014/main" id="{C67A8BD1-369F-FCFE-3888-559576FB61C9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5798199" y="2574360"/>
              <a:ext cx="605802" cy="376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411480</xdr:colOff>
      <xdr:row>2</xdr:row>
      <xdr:rowOff>122040</xdr:rowOff>
    </xdr:from>
    <xdr:to>
      <xdr:col>9</xdr:col>
      <xdr:colOff>33360</xdr:colOff>
      <xdr:row>10</xdr:row>
      <xdr:rowOff>158040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">
          <xdr14:nvContentPartPr>
            <xdr14:cNvPr id="33" name="Entrada de lápiz 32">
              <a:extLst>
                <a:ext uri="{FF2B5EF4-FFF2-40B4-BE49-F238E27FC236}">
                  <a16:creationId xmlns:a16="http://schemas.microsoft.com/office/drawing/2014/main" id="{B9FDC5F1-1E17-4C3D-A223-F31E6D71A9EC}"/>
                </a:ext>
              </a:extLst>
            </xdr14:cNvPr>
            <xdr14:cNvContentPartPr/>
          </xdr14:nvContentPartPr>
          <xdr14:nvPr macro=""/>
          <xdr14:xfrm>
            <a:off x="5166360" y="487800"/>
            <a:ext cx="2014560" cy="1499040"/>
          </xdr14:xfrm>
        </xdr:contentPart>
      </mc:Choice>
      <mc:Fallback>
        <xdr:pic>
          <xdr:nvPicPr>
            <xdr:cNvPr id="33" name="Entrada de lápiz 32">
              <a:extLst>
                <a:ext uri="{FF2B5EF4-FFF2-40B4-BE49-F238E27FC236}">
                  <a16:creationId xmlns:a16="http://schemas.microsoft.com/office/drawing/2014/main" id="{B9FDC5F1-1E17-4C3D-A223-F31E6D71A9EC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5112360" y="379800"/>
              <a:ext cx="2122200" cy="1714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126480</xdr:colOff>
      <xdr:row>1</xdr:row>
      <xdr:rowOff>84960</xdr:rowOff>
    </xdr:from>
    <xdr:to>
      <xdr:col>4</xdr:col>
      <xdr:colOff>685320</xdr:colOff>
      <xdr:row>7</xdr:row>
      <xdr:rowOff>101160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">
          <xdr14:nvContentPartPr>
            <xdr14:cNvPr id="34" name="Entrada de lápiz 33">
              <a:extLst>
                <a:ext uri="{FF2B5EF4-FFF2-40B4-BE49-F238E27FC236}">
                  <a16:creationId xmlns:a16="http://schemas.microsoft.com/office/drawing/2014/main" id="{E227EA44-B574-63F3-8EF6-B0793CE3120D}"/>
                </a:ext>
              </a:extLst>
            </xdr14:cNvPr>
            <xdr14:cNvContentPartPr/>
          </xdr14:nvContentPartPr>
          <xdr14:nvPr macro=""/>
          <xdr14:xfrm>
            <a:off x="1711440" y="267840"/>
            <a:ext cx="2143800" cy="1113480"/>
          </xdr14:xfrm>
        </xdr:contentPart>
      </mc:Choice>
      <mc:Fallback>
        <xdr:pic>
          <xdr:nvPicPr>
            <xdr:cNvPr id="34" name="Entrada de lápiz 33">
              <a:extLst>
                <a:ext uri="{FF2B5EF4-FFF2-40B4-BE49-F238E27FC236}">
                  <a16:creationId xmlns:a16="http://schemas.microsoft.com/office/drawing/2014/main" id="{E227EA44-B574-63F3-8EF6-B0793CE3120D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1657440" y="160200"/>
              <a:ext cx="2251440" cy="1329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243600</xdr:colOff>
      <xdr:row>4</xdr:row>
      <xdr:rowOff>138600</xdr:rowOff>
    </xdr:from>
    <xdr:to>
      <xdr:col>5</xdr:col>
      <xdr:colOff>600240</xdr:colOff>
      <xdr:row>8</xdr:row>
      <xdr:rowOff>7920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7">
          <xdr14:nvContentPartPr>
            <xdr14:cNvPr id="39" name="Entrada de lápiz 38">
              <a:extLst>
                <a:ext uri="{FF2B5EF4-FFF2-40B4-BE49-F238E27FC236}">
                  <a16:creationId xmlns:a16="http://schemas.microsoft.com/office/drawing/2014/main" id="{BF558469-19D2-1185-D7B5-C39DF45E6355}"/>
                </a:ext>
              </a:extLst>
            </xdr14:cNvPr>
            <xdr14:cNvContentPartPr/>
          </xdr14:nvContentPartPr>
          <xdr14:nvPr macro=""/>
          <xdr14:xfrm>
            <a:off x="1036080" y="870120"/>
            <a:ext cx="3526560" cy="600840"/>
          </xdr14:xfrm>
        </xdr:contentPart>
      </mc:Choice>
      <mc:Fallback>
        <xdr:pic>
          <xdr:nvPicPr>
            <xdr:cNvPr id="39" name="Entrada de lápiz 38">
              <a:extLst>
                <a:ext uri="{FF2B5EF4-FFF2-40B4-BE49-F238E27FC236}">
                  <a16:creationId xmlns:a16="http://schemas.microsoft.com/office/drawing/2014/main" id="{BF558469-19D2-1185-D7B5-C39DF45E6355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982440" y="762120"/>
              <a:ext cx="3634200" cy="816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327600</xdr:colOff>
      <xdr:row>5</xdr:row>
      <xdr:rowOff>33840</xdr:rowOff>
    </xdr:from>
    <xdr:to>
      <xdr:col>10</xdr:col>
      <xdr:colOff>372120</xdr:colOff>
      <xdr:row>11</xdr:row>
      <xdr:rowOff>167760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9">
          <xdr14:nvContentPartPr>
            <xdr14:cNvPr id="48" name="Entrada de lápiz 47">
              <a:extLst>
                <a:ext uri="{FF2B5EF4-FFF2-40B4-BE49-F238E27FC236}">
                  <a16:creationId xmlns:a16="http://schemas.microsoft.com/office/drawing/2014/main" id="{ED2261F2-8A12-47E5-87DF-80DF99DFC2A7}"/>
                </a:ext>
              </a:extLst>
            </xdr14:cNvPr>
            <xdr14:cNvContentPartPr/>
          </xdr14:nvContentPartPr>
          <xdr14:nvPr macro=""/>
          <xdr14:xfrm>
            <a:off x="7459920" y="948240"/>
            <a:ext cx="837000" cy="1231200"/>
          </xdr14:xfrm>
        </xdr:contentPart>
      </mc:Choice>
      <mc:Fallback>
        <xdr:pic>
          <xdr:nvPicPr>
            <xdr:cNvPr id="48" name="Entrada de lápiz 47">
              <a:extLst>
                <a:ext uri="{FF2B5EF4-FFF2-40B4-BE49-F238E27FC236}">
                  <a16:creationId xmlns:a16="http://schemas.microsoft.com/office/drawing/2014/main" id="{ED2261F2-8A12-47E5-87DF-80DF99DFC2A7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7453800" y="942120"/>
              <a:ext cx="849240" cy="1243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187920</xdr:colOff>
      <xdr:row>1</xdr:row>
      <xdr:rowOff>129960</xdr:rowOff>
    </xdr:from>
    <xdr:to>
      <xdr:col>15</xdr:col>
      <xdr:colOff>200160</xdr:colOff>
      <xdr:row>2</xdr:row>
      <xdr:rowOff>87120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1">
          <xdr14:nvContentPartPr>
            <xdr14:cNvPr id="49" name="Entrada de lápiz 48">
              <a:extLst>
                <a:ext uri="{FF2B5EF4-FFF2-40B4-BE49-F238E27FC236}">
                  <a16:creationId xmlns:a16="http://schemas.microsoft.com/office/drawing/2014/main" id="{A5E64190-8589-B68F-6021-F2DED34613D0}"/>
                </a:ext>
              </a:extLst>
            </xdr14:cNvPr>
            <xdr14:cNvContentPartPr/>
          </xdr14:nvContentPartPr>
          <xdr14:nvPr macro=""/>
          <xdr14:xfrm>
            <a:off x="12075120" y="312840"/>
            <a:ext cx="12240" cy="140040"/>
          </xdr14:xfrm>
        </xdr:contentPart>
      </mc:Choice>
      <mc:Fallback>
        <xdr:pic>
          <xdr:nvPicPr>
            <xdr:cNvPr id="49" name="Entrada de lápiz 48">
              <a:extLst>
                <a:ext uri="{FF2B5EF4-FFF2-40B4-BE49-F238E27FC236}">
                  <a16:creationId xmlns:a16="http://schemas.microsoft.com/office/drawing/2014/main" id="{A5E64190-8589-B68F-6021-F2DED34613D0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12069000" y="306720"/>
              <a:ext cx="24480" cy="152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559800</xdr:colOff>
      <xdr:row>0</xdr:row>
      <xdr:rowOff>75960</xdr:rowOff>
    </xdr:from>
    <xdr:to>
      <xdr:col>9</xdr:col>
      <xdr:colOff>53640</xdr:colOff>
      <xdr:row>23</xdr:row>
      <xdr:rowOff>82440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23">
          <xdr14:nvContentPartPr>
            <xdr14:cNvPr id="68" name="Entrada de lápiz 67">
              <a:extLst>
                <a:ext uri="{FF2B5EF4-FFF2-40B4-BE49-F238E27FC236}">
                  <a16:creationId xmlns:a16="http://schemas.microsoft.com/office/drawing/2014/main" id="{15402BFD-C676-9D1A-1F90-09442C9F20F9}"/>
                </a:ext>
              </a:extLst>
            </xdr14:cNvPr>
            <xdr14:cNvContentPartPr/>
          </xdr14:nvContentPartPr>
          <xdr14:nvPr macro=""/>
          <xdr14:xfrm>
            <a:off x="559800" y="75960"/>
            <a:ext cx="6649020" cy="4212720"/>
          </xdr14:xfrm>
        </xdr:contentPart>
      </mc:Choice>
      <mc:Fallback>
        <xdr:pic>
          <xdr:nvPicPr>
            <xdr:cNvPr id="68" name="Entrada de lápiz 67">
              <a:extLst>
                <a:ext uri="{FF2B5EF4-FFF2-40B4-BE49-F238E27FC236}">
                  <a16:creationId xmlns:a16="http://schemas.microsoft.com/office/drawing/2014/main" id="{15402BFD-C676-9D1A-1F90-09442C9F20F9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542160" y="58320"/>
              <a:ext cx="6684661" cy="4248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142320</xdr:colOff>
      <xdr:row>2</xdr:row>
      <xdr:rowOff>13680</xdr:rowOff>
    </xdr:from>
    <xdr:to>
      <xdr:col>8</xdr:col>
      <xdr:colOff>244020</xdr:colOff>
      <xdr:row>15</xdr:row>
      <xdr:rowOff>60120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5">
          <xdr14:nvContentPartPr>
            <xdr14:cNvPr id="74" name="Entrada de lápiz 73">
              <a:extLst>
                <a:ext uri="{FF2B5EF4-FFF2-40B4-BE49-F238E27FC236}">
                  <a16:creationId xmlns:a16="http://schemas.microsoft.com/office/drawing/2014/main" id="{FB6490AD-D84A-B716-8097-657BAFB2D0C1}"/>
                </a:ext>
              </a:extLst>
            </xdr14:cNvPr>
            <xdr14:cNvContentPartPr/>
          </xdr14:nvContentPartPr>
          <xdr14:nvPr macro=""/>
          <xdr14:xfrm>
            <a:off x="1727280" y="379440"/>
            <a:ext cx="4879440" cy="2423880"/>
          </xdr14:xfrm>
        </xdr:contentPart>
      </mc:Choice>
      <mc:Fallback>
        <xdr:pic>
          <xdr:nvPicPr>
            <xdr:cNvPr id="74" name="Entrada de lápiz 73">
              <a:extLst>
                <a:ext uri="{FF2B5EF4-FFF2-40B4-BE49-F238E27FC236}">
                  <a16:creationId xmlns:a16="http://schemas.microsoft.com/office/drawing/2014/main" id="{FB6490AD-D84A-B716-8097-657BAFB2D0C1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1673280" y="271440"/>
              <a:ext cx="4987080" cy="26395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6T00:31:05.363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1 0 24575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6T00:31:11.439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1 23209,'2011'382'0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6T00:31:09.935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1274 24575,'258'-1'0,"20"-4"-621,145-15-1863,158-18 1175,143-17-1442,108-16 1366,-181 16-594,1914-185-2395,-2019 173 4092,-131 5 467,-121 6 835,-209 38 502,133-46-1,-208 61-1290,0-2-1,-1 1 1,14-10-1,-5-4 1594</inkml:trace>
  <inkml:trace contextRef="#ctx0" brushRef="#br0" timeOffset="639.85">9123 4 24575,'0'-4'0</inkml:trace>
  <inkml:trace contextRef="#ctx0" brushRef="#br0" timeOffset="5981.51">9208 25 24575,'-130'138'0,"-42"41"0,-1-12 0,-77 69 0,12-19 0,-22 21 0,192-178 0,-95 66 0,80-65 0,-4 8 0,-129 130 0,210-194-1365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7-06T00:31:52.893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191 2772,'52'9,"-10"-1,-15-6,0 0,30-3,-46 0,-1-1,1 1,-1-2,0 0,1 0,-1 0,0-2,13-6,54-39,45-24,-11 22,139-45,124-18,-317 97,-48 16,244-65,-213 60</inkml:trace>
  <inkml:trace contextRef="#ctx0" brushRef="#br0" timeOffset="717.59">3260 1756,'-2'11,"0"0,0 0,-1-1,0 1,-1-1,0 0,-8 15,-3 6,-37 90,-80 210,128-317,0-1,0 2,2-1,0 0,-1 17,3-28,0 1,0-1,0 0,0 0,1 1,0-1,-1 0,1 0,0 0,1 0,-1 0,0 0,1 0,0 0,0 0,0-1,0 1,0-1,0 1,0-1,1 0,0 0,-1 0,1 0,0 0,0-1,0 1,6 1,5 0,0 0,1-1,-1 0,1-1,-1-1,1-1,-1 0,1-1,-1 0,1-1,-1 0,0-2,0 0,15-7,15-15,60-46,-91 63,60-53,-47 40,45-33,121-54,-76 48,32-23,550-305,-580 328,-30 16</inkml:trace>
  <inkml:trace contextRef="#ctx0" brushRef="#br0" timeOffset="1937.49">6223 1608,'15'37,"-1"0,-1 1,7 47,-4-21,213 710,-225-763,-1 1,2 0,0-1,8 15,-12-24,1 1,-1-1,1 1,0-1,0 0,0 0,0 1,1-2,-1 1,0 0,1 0,0-1,-1 1,1-1,0 0,0 0,-1 0,7 1,-3-2,0 0,0-1,1 1,-1-1,0-1,0 1,0-1,0 0,-1 0,1-1,5-3,38-23,-1-1,-2-3,57-52,-68 56,180-149,61-42,422-306,9-6,-40-30,-469 370,-140 132,93-127,-109 120</inkml:trace>
  <inkml:trace contextRef="#ctx0" brushRef="#br0" timeOffset="3987.76">0 4889,'42'-1,"0"-2,1-1,-2-2,76-22,435-153,-416 134,476-202,-591 239</inkml:trace>
  <inkml:trace contextRef="#ctx0" brushRef="#br0" timeOffset="4727.62">2752 3746,'1'0,"-1"1,1-1,0 1,0-1,-1 1,1-1,0 1,0-1,-1 1,1 0,-1 0,1-1,-1 1,1 0,-1 0,1 0,-1-1,0 1,1 0,-1 0,0 0,0 0,1 0,-1 0,0 0,0 1,3 34,-3-29,9 173,-2-28,26 155,-11-208,-19-88,1 0,0-1,1 1,-1-1,2 0,12 16,-16-23,0-1,0 1,0-1,1 0,-1 0,1 0,0 0,-1 0,1-1,0 1,0-1,0 0,0 0,0 0,1 0,-1-1,0 1,0-1,0 1,1-1,-1 0,0-1,0 1,1 0,-1-1,6-2,2-1,-1 0,1-1,-1-1,0 0,0 0,14-13,216-204,-148 132,230-224,682-647,-948 911</inkml:trace>
  <inkml:trace contextRef="#ctx0" brushRef="#br0" timeOffset="5551.42">5249 3661,'0'26,"0"140,30 256,-25-396,0 1,2-1,1 0,1-1,17 36,-16-44,0 0,1 0,1-1,0 0,1-1,1-1,0 0,17 12,135 102,-155-119,1-1,1-1,-1 0,1-1,0 0,1-1,-1-1,1 0,0 0,0-2,0 1,1-2,-1 0,0-1,1 0,-1-1,0-1,1 0,23-8,14-7,-2-3,0-1,-2-3,54-35,180-119,94-79,1536-1117,-1502 1057,-64 31,-63 38,-61 47,-118 108,179-172,-268 249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7-06T00:33:21.214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9 9,'-3'-4,"-2"0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7-06T00:33:22.103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148 445</inkml:trace>
  <inkml:trace contextRef="#ctx0" brushRef="#br0" timeOffset="309.96">0 318,'14'0,"20"-3,29-9,28-6,25-11,7-3,-7-1,-20 3,-26 5</inkml:trace>
  <inkml:trace contextRef="#ctx0" brushRef="#br0" timeOffset="648.84">1376 1,'3'3,"2"2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7-06T00:33:16.424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0 444,'57'3,"104"17,-53-4,86 7,389 45,2-28,-502-37,333 18,-404-20,0 1,0 0,0 1,20 6,-27-7,-1 1,1-1,-1 1,0 0,1 0,-1 1,-1-1,1 1,0 0,-1 0,0 0,5 9,71 138,-45-80,5 11,32 102,15 95,0 0,82 161,-113-318,107 172,-162-293,1 0,0-1,0 1,-1 0,1 0,-1 0,1-1,-1 1,1 0,-1 0,1 0,-1 0,0 0,0 0,1 0,-1 0,0 0,0 0,0 0,0 0,0 0,0 0,0 0,0 0,-1 0,1 0,0-1,-1 3,-1-2,-1 0,1 0,0 0,0-1,0 1,-1-1,1 1,0-1,0 0,-1 0,1 0,-3-1,-680-17,600 17,-347-21,336 7,80 12</inkml:trace>
  <inkml:trace contextRef="#ctx0" brushRef="#br0" timeOffset="1832.76">3239 169,'8'8,"2"0,-1 0,1-1,0 0,1-1,-1 0,1-1,1 0,-1-1,1 0,-1 0,1-2,0 1,0-2,0 1,1-2,-1 1,23-4,-14 0,-1-1,1-1,-1 0,0-2,0 0,-1-1,0-2,0 1,-1-2,17-13,0-3,-8 6,0 1,2 1,52-26,-71 41,0 0,0 1,0 0,0 1,0 0,0 0,1 1,-1 1,1-1,-1 2,1-1,-1 2,0-1,1 1,-1 1,17 6,-5 1,-1 1,1 2,-2 0,0 0,-1 2,22 21,97 114,-81-79,-4 2,-2 3,-4 2,-4 3,44 111,297 958,-69 20,-184-666,-120-466,-6-22,0 0,-2 0,3 24,-6-39,0 0,0 1,0-1,0 1,0-1,0 1,-1-1,1 1,0-1,-1 0,1 1,-1-1,0 0,1 1,-1-1,0 0,0 0,0 0,0 0,0 0,0 0,0 0,0 0,0 0,0 0,-1 0,1-1,0 1,-1-1,1 1,0-1,-1 1,1-1,-1 0,-2 1,-5 0,-1-1,1 0,-1 0,-14-3,5 1,-11 0,-1 1,0 1,1 2,-1 1,1 1,-38 11,61-14,-1 1,1-2,0 1,-1-1,1 0,0 0,-1-1,1 0,-11-3,-68-25,59 19,-60-26,-108-61,60 27,51 26,2-3,3-4,2-3,-74-68,136 107,1 0,1-1,0 0,1-1,1-1,-16-33,23 43,-34-66</inkml:trace>
  <inkml:trace contextRef="#ctx0" brushRef="#br0" timeOffset="2082.12">1651 741,'0'-4,"0"-1</inkml:trace>
  <inkml:trace contextRef="#ctx0" brushRef="#br0" timeOffset="4069.96">1820 973,'4'4,"1"4,-1 2</inkml:trace>
  <inkml:trace contextRef="#ctx0" brushRef="#br0" timeOffset="5118.43">1461 4106,'-4'4,"-1"4,1 5,0 4,1-2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7-06T00:33:31.991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368 822,'6'1,"0"1,0-1,0 1,-1 0,1 1,-1-1,1 1,-1 0,0 0,0 1,9 8,4 1,72 55,-55-40,0-2,53 29,-73-48,0-1,0-1,1 0,0-1,-1-1,2 0,-1-1,0-1,0 0,0-1,26-4,-20 1,0-1,-1-1,0-1,0-1,-1-1,0-1,0 0,19-13,-22 10,0-1,-1-1,-1-1,0 0,0 0,-2-2,0 0,-1 0,-1-1,0-1,-1 0,-2 0,11-33,-8 15,-1-1,-3 1,0-2,-3 1,-1-1,-4-59,0 74,-2 1,0-1,-2 1,0 0,-1 0,-2 1,0 0,-2 0,-21-37,23 47,0 1,-1 0,0 0,-1 1,0 0,0 0,-1 1,-1 1,0 0,0 0,0 1,-1 1,0 0,0 1,0 0,-1 1,-22-4,3 4,0 2,0 1,1 1,-1 2,0 1,-62 15,3 7,-96 40,122-39,-104 56,144-68,2 2,0 1,0 0,2 2,0 1,-35 42,50-54,2 1,-1 1,1-1,0 1,1 0,0 0,0 0,2 1,-1-1,1 1,0 0,1 0,1-1,-1 1,2 0,0 0,2 14,6 13,1 0,1-2,25 54,-31-78,25 59,118 265,-114-267,4-2,80 108,-85-138,2-2,1-1,2-2,72 47,-75-55,162 107,-60-41,-125-82,2 0,-1-1,1-1,0 0,0-1,1-1,15 3,-24-5,0-1,1 0,-1 0,0-1,1 0,-1 0,1 0,-1-1,0 0,1 0,-1-1,0 0,0 0,0 0,0-1,0 0,-1 0,11-7,-15 9,0 1,-1 0,1-1,0 1,0-1,-1 0,1 1,0-1,-1 0,1 1,-1-1,1 0,-1 0,1 1,-1-1,1 0,-1 0,0 0,1 0,-1 0,0 0,0 0,0 1,0-1,0 0,0 0,0 0,0 0,0-2,-2 3,1-1,0 1,0 0,0-1,0 1,-1 0,1 0,0 0,0 0,0 0,-1 0,1 0,0 1,0-1,0 0,-1 1,1-1,0 1,0-1,0 1,0-1,0 1,0 0,-1 0,-25 18,0 0,2 2,0 1,-37 43,10-11,29-32,2 1,0 0,-20 33,34-46,2 0,-1 0,2 1,-1 0,1 0,1 0,0 1,1-1,0 1,1-1,-1 23,2-32,0 10,1 1,0-1,5 24,-4-31,0 0,0-1,0 1,0 0,1-1,0 0,0 0,0 0,0 0,1 0,-1-1,8 6,24 16,2-2,64 32,-6-5,38 22,2-5,167 56,-249-105,2-2,0-2,0-3,2-2,-1-2,0-3,1-3,110-11,-148 7,-1-1,0 0,0-1,28-12,-37 12,0 1,-1-1,0-1,0 0,0 0,0 0,-1-1,0 0,0 0,7-13,-4 5,1 0,24-25,-30 35,1 0,0 1,0 0,0 0,0 0,0 1,1 0,-1 0,1 0,10-1,25-5,68-3,-80 10,1 0,-1-3,0 0,0-2,37-14,63-43,23-8,-143 68,105-40,130-31,-208 65,44-19,-57 19,0 1,1 2,1 0,42-6,65 11,-8 1,-106 0,0-2,-1 0,0-1,32-11,9-9,96-54,-146 74,1 0,0 0,0 1,1 1,-1 0,0 0,1 1,-1 0,19 1,38-4,-32-5,-1 0,0-3,-1 0,63-35,-78 38,6 0,0 0,1 1,0 2,1 1,-1 0,45 0,-28 1,52-11,-43 2,-26 6,0 1,0 1,0 1,33 0,194 5,-232-1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7-06T00:33:35.347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7621 1499,'27'-15,"31"-24,5-2,186-97,-94 55,179-129,-283 178,2 3,77-34,-93 47,-23 11,-1 0,1-1,-1 0,0-1,-1 0,0-1,-1-1,0 1,0-2,-1 0,-1 0,0-1,-1 0,0 0,-1-1,0 0,5-18,-6 18,0 0,0 1,9-13,1-5,-15 31,-1-1,0 0,1 1,-1-1,0 0,0 1,0-1,0 0,0 1,1-1,-1 0,-1 1,1-1,0 0,0 1,0-1,0 0,0 1,0-1,-1 0,1 1,0-1,-1 1,1-1,-1-1,-19-11,-35-5,40 14,-158-41,53 16,-393-102,437 110,-123-37,138 41,-111-16,-16-3,45 8,91 19,-59-16,110 25,0-1,0 1,-1 0,1-1,0 1,0-1,0 1,0-1,0 1,0-1,0 0,0 1,0-1,0 0,0 0,0 0,0-1,1 1,1 0,-1 1,1-1,-1 0,1 1,-1-1,1 0,0 1,-1-1,1 1,0-1,0 1,-1-1,1 1,0 0,0-1,0 1,-1 0,1 0,0-1,0 1,0 0,0 0,0 0,-1 0,1 0,2 1,24-4,1 2,48 5,10 4</inkml:trace>
  <inkml:trace contextRef="#ctx0" brushRef="#br0" timeOffset="1415.16">7346 1668,'47'-1,"1"-3,-1-2,48-11,136-46,-131 33,-50 16,1000-299,-1045 311,107-33,176-84,-266 108,0-1,35-27,-51 35,-1-1,1 0,-1 0,0-1,0 1,0-1,-1 0,0 0,0-1,-1 0,1 1,3-15,-6 19,-1 0,0 0,1 0,-1 0,0 0,0 0,-1 0,1 0,0 0,-1-1,1 1,-1 0,0 0,1 1,-1-1,0 0,0 0,-1 0,1 1,0-1,0 0,-1 1,1-1,-1 1,1 0,-1-1,0 1,0 0,1 0,-1 0,0 0,0 0,0 1,0-1,0 0,-3 1,-10-4,0 0,0 2,-30-2,30 3,-117-9,-1 6,1 6,-183 25,-218 79,92-16,-204 5,-3-64,647-31,-52-1,-1-2,-70-12,120 14,0 0,0 0,0 0,0-1,0 1,1-1,-7-4,9 6,1-1,-1 1,1 0,-1-1,1 1,-1-1,1 0,-1 1,1-1,-1 1,1-1,0 0,0 1,-1-1,1 0,0 1,0-1,-1 0,1 1,0-1,0 0,0 1,0-1,0 0,0 0,0 1,1-2,1-2,0 1,1 0,-1-1,1 1,0 0,0 1,0-1,1 0,-1 1,1 0,-1-1,1 2,6-4,62-27,1 4,108-28,-99 32,80-24,565-191,-567 167,-137 62,-42 23,-65 33,-2-3,-2-4,-2-4,-163 41,199-69,53-6,0-1,0 0,0 0,0 0,0 0,1 0,-1-1,0 1,0 0,0 0,0 0,0-1,1 1,-1 0,0-1,0 1,1-1,-1 1,0-1,0 0,1 1,-1-1,1 1,-1-1,0 0,0-1,1 1,0 0,0-1,0 1,0 0,0-1,0 1,0 0,1 0,-1-1,0 1,1 0,-1 0,1-1,-1 1,2-1,15-24</inkml:trace>
  <inkml:trace contextRef="#ctx0" brushRef="#br0" timeOffset="4016.23">1 1626,'106'-5,"161"-27,-86 6,889-57,-800 80,533 65,-553-19,52 8,-216-41,132 0,-191-13,1-1,-2-1,1-1,0-2,33-13,20-6,-32 15,1 1,1 3,69-2,153 10,-141 2,-66 0,0-4,0-3,99-19,-139 16,-1 0,34-17,-35 14,0 1,40-10,14 6,1 3,99-1,-142 11,189-30,-156 19,112-7,6 20,64-2,-230-1,0 0,-1-2,1 0,-1-1,27-11,88-48,-60 27,-18 8,-31 16,0 0,1 2,52-16,0 13,0 4,93-1,2 0,-92 4,-1 4,1 3,117 15,333 95,-339-65,-84-20,430 88,-405-93,0-5,146-2,-254-16,-18 2,-16 5,0 0,0 0,0 1,-15 11,-5 6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6T00:34:11.9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0 224 24575,'2'1'0,"0"0"0,0 1 0,-1-1 0,1 1 0,-1-1 0,1 1 0,-1 0 0,1 0 0,-1-1 0,0 1 0,0 0 0,0 0 0,0 1 0,0-1 0,0 0 0,0 4 0,2 2 0,188 504 0,-128-330 0,38 110 0,106 285 0,-177-505 0,42 75 0,-54-114 0,3-1 0,0-1 0,2-1 0,38 37 0,-50-56 0,102 108 0,-97-100 0,-1 0 0,0 1 0,-2 1 0,17 35 0,-26-47 21,-1 1 0,-1-1 1,0 1-1,0 0 0,1 16 0,4 24-1513,-3-37-5334</inkml:trace>
  <inkml:trace contextRef="#ctx0" brushRef="#br0" timeOffset="572.38">254 605 24575,'0'-4'0,"0"-8"0,7-13 0,10-13 0,13-14 0,8-6 0,8-4 0,8 2 0,2 3 0,-2 5 0,-3 4 0,-3 2 0,-5 7 0,-15 8 0,-11 11-8191</inkml:trace>
  <inkml:trace contextRef="#ctx0" brushRef="#br0" timeOffset="905.13">191 1853 24575,'3'-3'0,"6"-2"0,4-7 0,3-8 0,3-5 0,6-5 0,5-9 0,12-7 0,21-12 0,24-16 0,27-15 0,19-6 0,15 3 0,-17 16-8191</inkml:trace>
  <inkml:trace contextRef="#ctx0" brushRef="#br0" timeOffset="1381.28">1059 3420 24575,'7'-5'0,"1"-1"0,-1 0 0,0 0 0,-1 0 0,1-1 0,-1 0 0,-1 0 0,1-1 0,-1 1 0,6-13 0,-3 6 0,84-149 0,25-39 0,-97 173 0,0 2 0,2 0 0,1 1 0,48-42 0,-29 36 0,2 2 0,86-44 0,108-35 0,-100 48 0,33-21-1365,-117 53-5461</inkml:trace>
  <inkml:trace contextRef="#ctx0" brushRef="#br0" timeOffset="2909.94">254 922 24575</inkml:trace>
  <inkml:trace contextRef="#ctx0" brushRef="#br0" timeOffset="4506.88">381 583 24575,'4'8'0,"4"8"0,5 7 0,4-2 0,2-11 0,-2-8-8191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6T00:34:19.9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28 380 24575,'0'3'0,"4"2"0,-3-7 0,-5-37 0,-5-46 0,-1-46 0,0 0-8191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6T00:35:00.063"/>
    </inkml:context>
    <inkml:brush xml:id="br0">
      <inkml:brushProperty name="width" value="0.1" units="cm"/>
      <inkml:brushProperty name="height" value="0.1" units="cm"/>
      <inkml:brushProperty name="color" value="#0B868D"/>
      <inkml:brushProperty name="inkEffects" value="ocean"/>
      <inkml:brushProperty name="anchorX" value="0"/>
      <inkml:brushProperty name="anchorY" value="0"/>
      <inkml:brushProperty name="scaleFactor" value="0.5"/>
    </inkml:brush>
    <inkml:brush xml:id="br1">
      <inkml:brushProperty name="width" value="0.1" units="cm"/>
      <inkml:brushProperty name="height" value="0.1" units="cm"/>
      <inkml:brushProperty name="color" value="#0B868D"/>
      <inkml:brushProperty name="inkEffects" value="ocean"/>
      <inkml:brushProperty name="anchorX" value="-1293.94958"/>
      <inkml:brushProperty name="anchorY" value="-1168.20398"/>
      <inkml:brushProperty name="scaleFactor" value="0.5"/>
    </inkml:brush>
    <inkml:brush xml:id="br2">
      <inkml:brushProperty name="width" value="0.1" units="cm"/>
      <inkml:brushProperty name="height" value="0.1" units="cm"/>
      <inkml:brushProperty name="color" value="#0B868D"/>
      <inkml:brushProperty name="inkEffects" value="ocean"/>
      <inkml:brushProperty name="anchorX" value="-4045.38647"/>
      <inkml:brushProperty name="anchorY" value="-3393.58374"/>
      <inkml:brushProperty name="scaleFactor" value="0.5"/>
    </inkml:brush>
    <inkml:brush xml:id="br3">
      <inkml:brushProperty name="width" value="0.1" units="cm"/>
      <inkml:brushProperty name="height" value="0.1" units="cm"/>
      <inkml:brushProperty name="color" value="#0B868D"/>
      <inkml:brushProperty name="inkEffects" value="ocean"/>
      <inkml:brushProperty name="anchorX" value="-5569.87988"/>
      <inkml:brushProperty name="anchorY" value="-6244.86279"/>
      <inkml:brushProperty name="scaleFactor" value="0.5"/>
    </inkml:brush>
    <inkml:brush xml:id="br4">
      <inkml:brushProperty name="width" value="0.1" units="cm"/>
      <inkml:brushProperty name="height" value="0.1" units="cm"/>
      <inkml:brushProperty name="color" value="#0B868D"/>
      <inkml:brushProperty name="inkEffects" value="ocean"/>
      <inkml:brushProperty name="anchorX" value="-989.28973"/>
      <inkml:brushProperty name="anchorY" value="-6567.00537"/>
      <inkml:brushProperty name="scaleFactor" value="0.5"/>
    </inkml:brush>
    <inkml:brush xml:id="br5">
      <inkml:brushProperty name="width" value="0.1" units="cm"/>
      <inkml:brushProperty name="height" value="0.1" units="cm"/>
      <inkml:brushProperty name="color" value="#0B868D"/>
      <inkml:brushProperty name="inkEffects" value="ocean"/>
      <inkml:brushProperty name="anchorX" value="-10490.30566"/>
      <inkml:brushProperty name="anchorY" value="-7666.39941"/>
      <inkml:brushProperty name="scaleFactor" value="0.5"/>
    </inkml:brush>
    <inkml:brush xml:id="br6">
      <inkml:brushProperty name="width" value="0.1" units="cm"/>
      <inkml:brushProperty name="height" value="0.1" units="cm"/>
      <inkml:brushProperty name="color" value="#0B868D"/>
      <inkml:brushProperty name="inkEffects" value="ocean"/>
      <inkml:brushProperty name="anchorX" value="-13457.99512"/>
      <inkml:brushProperty name="anchorY" value="-8046.0542"/>
      <inkml:brushProperty name="scaleFactor" value="0.5"/>
    </inkml:brush>
    <inkml:brush xml:id="br7">
      <inkml:brushProperty name="width" value="0.1" units="cm"/>
      <inkml:brushProperty name="height" value="0.1" units="cm"/>
      <inkml:brushProperty name="color" value="#0B868D"/>
      <inkml:brushProperty name="inkEffects" value="ocean"/>
      <inkml:brushProperty name="anchorX" value="-15951.71387"/>
      <inkml:brushProperty name="anchorY" value="-8868.72168"/>
      <inkml:brushProperty name="scaleFactor" value="0.5"/>
    </inkml:brush>
    <inkml:brush xml:id="br8">
      <inkml:brushProperty name="width" value="0.1" units="cm"/>
      <inkml:brushProperty name="height" value="0.1" units="cm"/>
      <inkml:brushProperty name="color" value="#0B868D"/>
      <inkml:brushProperty name="inkEffects" value="ocean"/>
      <inkml:brushProperty name="anchorX" value="-19078.25"/>
      <inkml:brushProperty name="anchorY" value="-11978.09375"/>
      <inkml:brushProperty name="scaleFactor" value="0.5"/>
    </inkml:brush>
    <inkml:brush xml:id="br9">
      <inkml:brushProperty name="width" value="0.1" units="cm"/>
      <inkml:brushProperty name="height" value="0.1" units="cm"/>
      <inkml:brushProperty name="color" value="#0B868D"/>
      <inkml:brushProperty name="inkEffects" value="ocean"/>
      <inkml:brushProperty name="anchorX" value="-20114.95898"/>
      <inkml:brushProperty name="anchorY" value="-12992.87793"/>
      <inkml:brushProperty name="scaleFactor" value="0.5"/>
    </inkml:brush>
    <inkml:brush xml:id="br10">
      <inkml:brushProperty name="width" value="0.1" units="cm"/>
      <inkml:brushProperty name="height" value="0.1" units="cm"/>
      <inkml:brushProperty name="color" value="#0B868D"/>
      <inkml:brushProperty name="inkEffects" value="ocean"/>
      <inkml:brushProperty name="anchorX" value="-16976.29688"/>
      <inkml:brushProperty name="anchorY" value="-9884.72168"/>
      <inkml:brushProperty name="scaleFactor" value="0.5"/>
    </inkml:brush>
    <inkml:brush xml:id="br11">
      <inkml:brushProperty name="width" value="0.1" units="cm"/>
      <inkml:brushProperty name="height" value="0.1" units="cm"/>
      <inkml:brushProperty name="color" value="#0B868D"/>
      <inkml:brushProperty name="inkEffects" value="ocean"/>
      <inkml:brushProperty name="anchorX" value="-17992.29688"/>
      <inkml:brushProperty name="anchorY" value="-10900.72168"/>
      <inkml:brushProperty name="scaleFactor" value="0.5"/>
    </inkml:brush>
    <inkml:brush xml:id="br12">
      <inkml:brushProperty name="width" value="0.1" units="cm"/>
      <inkml:brushProperty name="height" value="0.1" units="cm"/>
      <inkml:brushProperty name="color" value="#0B868D"/>
      <inkml:brushProperty name="inkEffects" value="ocean"/>
      <inkml:brushProperty name="anchorX" value="-19077.46484"/>
      <inkml:brushProperty name="anchorY" value="-11976.87793"/>
      <inkml:brushProperty name="scaleFactor" value="0.5"/>
    </inkml:brush>
    <inkml:brush xml:id="br13">
      <inkml:brushProperty name="width" value="0.1" units="cm"/>
      <inkml:brushProperty name="height" value="0.1" units="cm"/>
      <inkml:brushProperty name="color" value="#0B868D"/>
      <inkml:brushProperty name="inkEffects" value="ocean"/>
      <inkml:brushProperty name="anchorX" value="-20364.94336"/>
      <inkml:brushProperty name="anchorY" value="-13308.46289"/>
      <inkml:brushProperty name="scaleFactor" value="0.5"/>
    </inkml:brush>
  </inkml:definitions>
  <inkml:trace contextRef="#ctx0" brushRef="#br0">10256 9441 8192,'0'4'21025,"0"14"-27032,0 5 9011,0 6-3004,4 6 0,5-1 0,8 2 0,4-6 0,6-7 0,6-12 0,-29-12 0,1 1 0,-1 0 0,0 0 0,0 0 0,1-1 0,6-1 0,-3-2 0,0 1 0,-1 0 0,0 0 0,8-6 0,31-24 0,-7 1 0</inkml:trace>
  <inkml:trace contextRef="#ctx0" brushRef="#br1" timeOffset="1105.4">10658 9483 8192,'0'0'0,"7"-7"2971,12-7-3466,2-7 7813,8-8-9267,5-1 12206,4-1-12909,-6 3 5431,-7 1-3194,-8 2 623,-10-2-208,-11-3 0,-11-5 0,-10 2 0,-9 2-3916,-4 2-1960,0 3 7315,-2 7-11141,35 18 10117,0 0-1,0 0 0,-1 0 1,1 0-1,-9 0 1,11 2-571,-1-1 1,-1 1-1,1 0 1,0-1 0,0 2-1,0-1 1,-4 2-1,-29 19-1256,-5 13 1816,-5 20-606,-19 13 202,-17 15 0,-24 10 0,-14 7 0,-9 0 0,4-9 0,13-9 0,18-15 0,22-11 0,22-9 0,21-8 0,14-3 0,11 3 0,5-3 0,8 1 0,9 2 3915,9 0-5034,10 1-1787,6-3 3896,8 1 2430,18 0-4539,0-3 8076,7-4-8785,8-7-1173,12-8 4119,-59-14-4820,37-2-1,-32-4 4681,41-8 0,64-17-1956,21 0 978,23-5 0,14 6 0,8 6 0,4 11 0,-10 15 0,-27 9 0,-32 2 0,-45 0 0,-92-12 0,-1-1 0,1 0 0,-1 2 0,13 5 0,-20-7 0,-1-1 0,1 0 0,-1 0 0,0 0 0,1 0 0,-1 0 0,0 0 0,0 1 0,0-1 0,0 0 0,0 1 0,0-1 0,0 1 0,-1-1 0,1 1 0,0-1 0,-1 1 0,1 0 0,-1-1 0,0 1 0,1 2 0,0 1 356,-1-1 0,0 0 0,0 0-1,-1-1 1,1 1 0,-1 0 0,0 0 0,0 0 0,-1-1 0,-2 7 0,-25 55-1475,-12 16 1679,-11 7-4026,-7 4 8371,0 1-6519,3-6-1742,3-5 4475,3-11-2127,4-10 1136,6-11-192,10-7 64,5-3 0,8-6 3915,7-1-5034,4-2 8076,4 5 498,2 2-9193,1 2 3064,5-2 104,4 1-1839,4-5 614,3-3-205,2-7 0,2-8 0,5-11 0,9-13 0,8-20 0,13-10 0,5-12 0,5-2 0,6-1 0,-5 1-3466,-4 7 4456,-7 3 1981,-4 1-3962,-5 5-2429,-7 1 4539,-7-1 1788,-8 3-3898,-9-2 1936,-7 3-1074,-5 3 194,-3-1-65,-1 1 0,-2-2 0,0 1 0,1-2 0,0 2 0,0 2 0,1-3 0,0 2 0,0-2 0,0-3 0,0 6 0</inkml:trace>
  <inkml:trace contextRef="#ctx0" brushRef="#br2" timeOffset="3236.51">8923 2541 8192,'0'0'0,"14"-8"0,18-10 0,11-8 0,6-2 0,2 2 0,0 6 0,-1 6 0,-7 14 3466,-35 3-3631,-2-1 0,0 0 0,0 1 0,0-1 0,11 8 0,-8 1 264,0-3 0,-1 1 0,0 0 0,11 16 0,50 85 6724,12 57-8772,3 43-543,-9 30-3341,-18 10 7288,-17-2-2430,-19-18 975,-26-22 0,-16-29 0,14-145 0,-2 1 0,-14 36 0,16-47 0,-3 0 0,-19 34 0,19-44 0,1-1 0,0-2 0,-1 1 0,-1-1 0,-11 10 0,10-12 0,0 0 0,0-1 0,-1-1 0,0 0 0,-19 7 0,14-7 0,-1-1 0,-1 0 0,-37 4 0,24-7 0,1-1 0,-42-4 0,37-5 0,1 0 0,-53-16 0,32 3 0,-73-37 0,-76-64 0,-14-45 0,-9-31 0,-1-19 0,26 8 0,40 36 0,47 37 0,42 34 0,67 89 0,1 1 0,1 0 0,1 0 0,-6-17 0,10 19 0,0 4 0,0 0 0,1 0 0,0 0 0,0 0 0,0 0 0,1 0 0,-1 0 0,1 0 0,0 0 0,3-7 0,2 0 0,-2 3 0,2 0 0,-1 0 0,1 1 0,0-1 0,14-13 0,1 4 0,0 1 0,41-28 0,-18 23 0,79-31 0,-49 34 0,98-18 0,-71 36 0,156 5 0,202 62 0,62 69 0,19 60 0,-42 35 0,-65 19 0,-86-1 0,-272-187 0,102 108 0,-144-134 0,-1 3 0,-2 1 0,34 58 0,-53-77 0,-1 0 0,-1 0 0,-1 0 0,0 1 0,-2 0 0,0 1 0,2 26 0,-3-30 0,-4 0 0,0-1 0,-1 1 0,-1-1 0,0 1 0,-2-1 0,0 1 0,-6 19 0,2-14 0,-1-2 0,-1 0 0,-1-1 0,-1 0 0,0-1 0,-22 28 0,11-19 0,-2 0 0,-2-2 0,-57 46 0,39-42 0,-2 0 0,-88 41 0,46-39 0,-149 41 0,-207-4 0,-115-73 0,-97-74 0,-78-92 0,-55-94 0,-7-54 0,72-30 0,119 14 0,150 54 0,151 64 0,257 182 1155,6-1 0,-46-51 1,77 78-1239,4 1 1,0 1-1,0-1 1,1 0-1,0-1 1,0 0-1,1 1 1,0-1-1,1-1 1,-1 1-1,-3-14 1,5 16 343,2 4 0,0-1 1,0 0-1,0 0 0,0 1 1,1-1-1,-1 0 1,1 1-1,-1-1 0,1 0 1,0 1-1,0-1 0,0 1 1,1-1-1,-1 1 1,1-1-1,-1 1 0,1 0 1,0 0-1,-1 0 1,1 0-1,0 0 0,1 0 1,-1 1-1,0-1 0,0 0 1,5-1-1,3-4-504,2 1-1,0 1 0,1 0 0,-1 1 1,1 0-1,0 1 0,23-2 1,8 5 3662,1-1 0,71 9 0,180 56-6071,58 50 512,6 43 3130,-27 17-8308,-65-1 9267,-204-129-703,65 64 0,-110-87-1445,0-2 1,-1 1 0,-2 2 0,28 42 0,-36-50 253,-1-1 0,-1 0 0,-1 0 0,0 1 0,-1 0 0,0 0 0,-1 0 0,1 17 0,-4-16 628,0-2-1,0 0 0,-2 0 1,1 0-1,-2 0 1,0 0-1,0 0 0,-1-1 1,-7 14-1,2-9-961,0 1 1,-2-1-1,0 0 1,-2 0-1,1-2 1,-20 19-1,6-14-309,0 0 0,-1 0 0,0-2 0,-42 20 0,5-13 961,4-3 0,-96 23 0,39-27-3852,-156 11 1,121-34 4392,-184-19 0,-234-75-11088,-45-67 12820,18-38-3969,77-14 1323,114 25 0,125 39 0,227 123 0,-61-50 0,107 75 0,3 2 0,-1-1 0,1 0 0,0 0 0,0 0 0,1 0 0,-1-1 0,1 0 0,1 1 0,-1-2 0,1 1 0,-4-10 0,6 12 0,0 2 0,1-1 0,1 1 0,-1 0 0,0 0 0,0 0 0,1-1 0,-1 1 0,1 0 0,0 0 0,0 0 0,0 0 0,0 0 0,0 0 0,0 0 0,0 0 0,1 0 0,-1 0 0,0 1 0,1-1 0,0 1 0,-1-1 0,1 1 0,0-1 0,0 1 0,0 0 0,0 0 0,0 0 0,0 0 0,2 0 0,15-6 0,-1 1 0,1 1 0,-1 1 0,1 0 0,30-1 0,27 3 0,84 6 0,188 61 0,59 45 0,-5 35 0,-50 9 0,-81-10 0,-229-118 0,-1 3 0,59 50 0,-91-67 0,1-2 0,0 0 0,-1 1 0,-1 1 0,1 0 0,-2 0 0,0 0 0,-1 1 0,7 16 0,-10-19 0,-1-1 0,0-1 0,-1 1 0,0 0 0,0 0 0,-1 0 0,0 0 0,-1 0 0,0 0 0,0 0 0,-1 0 0,0 0 0,-4 11 0,1-3 0,-3 0 0,0-1 0,-1 0 0,0 0 0,-1-1 0,-1 0 0,-16 17 0,-1 1 0,-5 0 0,-62 49 0,39-48 0,0 0 0,-69 31 0,40-29 0,-122 37 0,-121 5 0,0-45 0,248-31 0,-138-14 0,174 6 0,-5-3 0,0-1 0,-47-18 0,74 21 0,-1-3 0,0 0 0,1-1 0,0-1 0,-36-28 0,57 35 0,-5-1 0,0 0 0,0-1 0,1 1 0,0-1 0,0 0 0,1-1 0,0 1 0,0-1 0,0 0 0,1 0 0,1 0 0,-1 0 0,1 0 0,-1-11 0,9 12 0,-5-3 0,1 1 0,0-1 0,0 1 0,1-1 0,0 1 0,1 0 0,0 0 0,1 0 0,0 1 0,0 0 0,0-1 0,1 2 0,10-11 0,16 5 0,-6-5 0,0 1 0,1 1 0,1 1 0,1 2 0,44-14 0,24 23 0,-10-7 0,0 3 0,115 5 0,19 35 0,286 57 0,423 145 0,142 77 0,29 33 0,-70 1 0,-174-38 0,-220-63 0,-215-64 0,-289-100 0,-119-71 0,-1 1 0,1 1 0,-2 0 0,13 14 0,-19-17 0,-3-4 0,0-1 0,0 1 0,-1 0 0,1-1 0,-1 1 0,0 1 0,0-1 0,-1 0 0,1 0 0,-1 1 0,0-1 0,0 1 0,0-1 0,0 1 0,-1-1 0,0 1 0,0-1 0,0 1 0,-1-1 0,1 1 0,-1-1 0,0 1 0,-1-1 0,1 1 0,-1-1 0,1 0 0,-1 0 0,-5 7 0,1 2 0,-1-3 0,0-1 0,-1 0 0,0 0 0,-1-1 0,-10 8 0,-7 3 0,-1-1 0,-32 17 0,-75 28 0,-163 52 0,-407 66 0,-245-7 0,-236-44 0,-138-68 0,-46-58 0,99-53 0,217-48 0,250-35 0,678 103 0,2-5 0,-182-75 0,254 85 0,4 0 0,-47-34 0,71 42 0,1 0 0,1-2 0,1-1 0,-24-27 0,35 35 0,0 0 0,0-1 0,2-1 0,-1 1 0,1-1 0,1 0 0,0-1 0,1 1 0,1-1 0,0 0 0,1 0 0,0-1 0,1 1 0,1-1 0,0 1 0,1-1 0,2-21 0,7 16 0,-5 1 0,2 1 0,1-1 0,0 1 0,1 0 0,12-19 0,1 3 0,2 2 0,1 1 0,31-33 0,3 21 0,95-74 0,128-52 0,-57 83 0,399-127 0,609-30 0,341 85 0,267 109 0,109 108 0,-43 117 0,-243 119 0,-357 37 0,-1041-254 0,381 182 0,-543-212 0,103 72 0,-165-92 0,-1 1 0,-1 2 0,47 49 0,-70-62 0,-2-2 0,-1 0 0,-1 2 0,0-1 0,-1 2 0,-1-1 0,12 32 0,-18-37 0,-1 0 0,0 0 0,0 0 0,-1 0 0,-1 0 0,0 0 0,-1 0 0,-1 0 0,0 1 0,0-1 0,-5 15 0,7-10 0,-6 0 0,-1 0 0,-1 0 0,0-1 0,-1 0 0,-1-1 0,-1 1 0,-12 15 0,-3-1 0,0-1 0,-2-2 0,-2 0 0,-36 26 0,0-9 0,-132 74 0,-157 43 0,59-65 0,-389 85 0,-564 26 0,-182-71 0,-71-100 0,54-104 0,196-79 0,268-56 0,835 161 0,-3-8 0,-238-113 0,328 129 0,3-1 0,-60-47 0,89 58 0,1-1 0,1-1 0,1-1 0,-26-35 0,38 41 0,1 1 0,1 0 0,1-1 0,1 0 0,1-1 0,0 0 0,2 0 0,0-1 0,2 0 0,0 0 0,2 0 0,0-1 0,1 1 0,2-1 0,2-33 0,2 21 0,2 2 0,1 0 0,1 1 0,22-53 0,-6 32 0,1 1 0,54-78 0,-12 48 0,89-97 0,144-102 0,-75 126 0,426-249 0,603-131 0,305 75 0,-168 117 0</inkml:trace>
  <inkml:trace contextRef="#ctx0" brushRef="#br3" timeOffset="4368.5">13177 1 8192,'0'0'0,"-104"10"0,-188 22 0,-176 7 0,-148 15 0,-109 49 0,-14 39 0,67 25 0,111 14 0,425-128 0,-143 76 0,210-97 0,1 6 0,-74 57 0,109-77 0,5 3 0,1 1 0,2 1 0,-26 29 0,36-43 0,6 1 0,0 0 0,1 1 0,0 0 0,1 1 0,0-1 0,-8 21 0,8-27 244,5-1 1,1 0 0,-1 0 0,1 1-1,-1-1 1,1 1 0,0-1-1,1 1 1,-1-1 0,1 1-1,0 0 1,0-1 0,1 1 0,-1-1-1,2 6 1,-3-4-315,2-2 0,1 0 0,-1-1 0,1 1 0,0-1 1,0 1-1,0-1 0,0 1 0,1-1 0,-1 0 0,1 0 0,0 0 0,0-1 0,0 1 0,6 3 0,2 3-489,0-2 0,1-1-1,0 0 1,1-1 0,19 6-1,0-1 1120,65 10-1,65-2-1118,30-18 4025,15-14-4456,-2-16-1981,-14-9 3961,-34-6-1485,-42 2 3961,-40 8-4456</inkml:trace>
  <inkml:trace contextRef="#ctx0" brushRef="#br4" timeOffset="4701.35">3652 1588 8192,'0'0'0,"32"18"0,72 32 0,122 40 0,162 27 0,205 8 0,188-17 0,206-51 0,106-57 0,21-31 0,-89-30 0,-170-9 0,-213-1 0,-214 8 0,-353 51 1733,93-32 0,-148 39-2476,-7 0 0,22-11 1,-34 16 611,1-1-1,0 0 1,-1 0 0,1 0 0,-1 0 0,1 0 0,-1 0 0,0-1 0,1 1 0,-1 0 0,0-1 0,0 1 0,0-1 0,0 1 0,0-1 0,1-3-1,3 4 174,-4 0-1,-1 1 0,0-1 0,0 0 1,1 0-1,-1 0 0,0 0 1,0 1-1,0-1 0,0 0 0,0 0 1,0 0-1,0 0 0,0 0 0,-1 1 1,1-1-1,0 0 0,0 0 0,-1 0 1,1 0-1,-1 1 0,1-1 0,0 0 1,-1 0-1,1 1 0,-2-2 1,-1-1 4,-1 0 0,1 1 1,0-1-1,-1 1 1,1 0-1,-1 0 0,-7-3 1,9-1-146,-12-1 0,0 1 0,-1 1 0,-23-5 0</inkml:trace>
  <inkml:trace contextRef="#ctx0" brushRef="#br5" timeOffset="4895.57">9494 1842 8192,'0'7'3356,"8"12"3080,26 2-7876,-12-15 207,33 9-1,-14-14 1730,46 2-1,107-34-7814,58-43 9269,27-36-3546,7-11 1773,-29-3-265,-54 18 88,-59 22 13220,-54 26-16997</inkml:trace>
  <inkml:trace contextRef="#ctx0" brushRef="#br6" timeOffset="5059.72">10425 1609 8192,'0'0'0,"-39"40"0,-54 53 0,-15 19 0,4 9 0,17-13 0,24-19 0,56-77 0,0 0 0,1 1 0,-7 17 0,15-28 150,-2 0 1,-1 0 0,1 0 0,0 0-1,0 0 1,0 0 0,0 0-1,0 0 1,1 0 0,-1 0-1,0 0 1,1 0 0,0 0 0,-1 0-1,1 0 1,0-1 0,0 1-1,0 0 1,0-1 0,0 1-1,1 0 1,1 1 0,5-2-241,-2 1 0,0 0 0,0 0 0,0-1 0,0 0 0,0 0 0,0 0 0,0-1 0,0 0 0,12-1 0,19-8-901,-3 1 1,50-18 0,151-65 1980,53-32 11735,21-22-16502,-10 5 5666,-50 18-1889,-65 25-13221,-63 26 16998,-51 25-5665</inkml:trace>
  <inkml:trace contextRef="#ctx0" brushRef="#br7" timeOffset="5804.65">900 5081 8192,'4'0'3356,"1"0"-3916</inkml:trace>
  <inkml:trace contextRef="#ctx0" brushRef="#br8" timeOffset="7416.67">18448 784 8192,'16'30'18467,"-13"-44"-20357,-1-3 3335</inkml:trace>
  <inkml:trace contextRef="#ctx0" brushRef="#br9" timeOffset="7686.83">18448 509 8192,'-4'0'16110,"0"0"-14949,-9 0-410</inkml:trace>
  <inkml:trace contextRef="#ctx0" brushRef="#br10" timeOffset="6701.1">16458 2795 8192,'0'0'0</inkml:trace>
  <inkml:trace contextRef="#ctx0" brushRef="#br11" timeOffset="7045.02">16607 2816 8192,'0'0'0,"3"3"0,6 7 3466,8 7-4456,4-1 8308,-2-1-9267</inkml:trace>
  <inkml:trace contextRef="#ctx0" brushRef="#br12" timeOffset="8733.97">7314 593 8192,'0'0'0,"21"22"0,22 25 0,4 9 0,5 4 0,29 40 21025,-66-83-24779,-3-3 1501</inkml:trace>
  <inkml:trace contextRef="#ctx0" brushRef="#br13" timeOffset="9489.63">18469 466 8192,'0'0'0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7-06T00:35:11.981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4304 703,'0'18,"2"1,1-1,0 1,9 27,30 72,-28-83,13 31,2-1,3-2,3-1,3-1,2-3,76 85,-75-100,1-2,2-2,2-2,2-1,1-3,1-3,2-1,77 30,-63-34,1-4,83 16,-66-22,2-5,98 1,-47-13,165-23,-49-14,300-87,234-137,-308 52,-70-17,-80-2,-77 22</inkml:trace>
  <inkml:trace contextRef="#ctx0" brushRef="#br0" timeOffset="238.54">9341 131,'-122'64,"99"-50,-309 187,26-14,-593 312,-14-24,697-361,205-111,17-12,26-24,-29 30,348-330,-220 211</inkml:trace>
  <inkml:trace contextRef="#ctx0" brushRef="#br0" timeOffset="462.96">7817 1761,'29'51,"45"59,50 51,44 34,32 12,18-10,12-29,7-38,-2-42,-4-36,-20-27,-35-24,-48-17,-41-5,-37 1</inkml:trace>
  <inkml:trace contextRef="#ctx0" brushRef="#br0" timeOffset="816.43">8876 3963,'28'28,"40"36,35 31,27 11,4 1,-12-10,-20-21,-24-24,-18-21,-9-16,6-27,22-35,36-37,39-37,33-27,27-17,17 2,-30 28</inkml:trace>
  <inkml:trace contextRef="#ctx0" brushRef="#br0" timeOffset="1526.27">10400 5148,'-97'52,"-205"79,-141 18,-179 15,-1671 270,1651-343,143-32,152-27,288-28,-86-4,137-1,1 0,-1 0,1-1,-1 0,-8-4,14 6,1-1,-1 1,1-1,0 0,-1 0,1 0,0 0,-1 0,1 0,0 0,0-1,0 1,0 0,0-1,0 1,0 0,0-1,0-1,1 1,-1 0,1 0,0 0,0 0,0 0,0 1,0-1,1 0,-1 0,1 0,-1 0,1 0,0 1,-1-1,3-3,1-2,1-1,1 1,-1 0,8-7,19-16,2 1,56-36,207-110,182-34,202-14,194 14,135 42,567 41,-8 172,-782 62,-212 26,-467-101,157 71,-237-92,-1 2,0 1,-1 1,-1 1,44 39,-63-50,-1-1,0 1,0 0,0 0,-1 0,0 1,0-1,-1 1,1 0,-1 0,-1 1,0-1,0 0,0 1,-1-1,0 1,0 0,-1 8,-2-4,0-1,-1 0,0 0,-1 0,0-1,-1 1,0-1,-1 0,0 0,0-1,-12 13,-8 8,-1-1,-2-1,-1-2,-36 24,-23 11,-138 71,-250 79,-169-11,-145-52,445-111,-1-15,-1-15,0-15,1-16,-354-70,144-44,473 110,1-4,-133-71,187 87,1-2,0-1,2 0,0-2,2-1,-30-34,44 43,0-1,1 0,0 0,1-1,0 0,1-1,1 0,1 0,0 0,1-1,1 1,0-1,0-28,4 16,2 0,0 0,2 0,1 1,1 0,2 0,1 1,18-37,7-5,4 1,3 2,78-94,-6 27,186-166,309-194,183-32,901-397,83 142,-1704 751,-44 19,-24 8,-6 2,-200 66,-375 108,-408 75,-379 34,-307 3,-978 98,3-96,1373-205,378-75,580-30,242 13,-90-24,137 26,-1-2,1 0,0-2,-24-13,40 18,1 0,-1-1,1 0,0 0,1-1,0 0,0 0,1-1,-9-12,11 13,1-1,0 1,1-1,-1 0,2 0,-1 0,1 0,1 0,-1 0,1-1,1-10,1 0,1 0,1 1,1-1,1 1,0 0,9-20,15-25,3 2,2 1,3 2,67-83,16-1,205-193,309-190,-258 263,785-409,501-24,-1079 508,-171 78,-158 60,-232 47,0 1,0 0,37 3,-35 7,-23-8,-1 1,0-1,1 0,-1 1,1-1,-1 1,0-1,1 1,-1-1,0 1,1-1,-1 1,0-1,0 1,0 0,1-1,-1 1,0-1,0 1,0 0,0-1,0 2,-1 1,-1 0,1 1,-1-1,1 0,-1 0,0-1,0 1,0 0,-4 3</inkml:trace>
</inkml: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win" refreshedDate="46208.844736689818" createdVersion="8" refreshedVersion="8" minRefreshableVersion="3" recordCount="9" xr:uid="{ACDB6528-E5A3-4589-BCC0-33DA986AA05B}">
  <cacheSource type="worksheet">
    <worksheetSource ref="A3:D12" sheet="Dinamico"/>
  </cacheSource>
  <cacheFields count="4">
    <cacheField name="Mes" numFmtId="0">
      <sharedItems count="3">
        <s v="Enero"/>
        <s v="Febrero"/>
        <s v="Marzo"/>
      </sharedItems>
    </cacheField>
    <cacheField name="Vendedor" numFmtId="0">
      <sharedItems count="3">
        <s v="Carlos"/>
        <s v="Maria"/>
        <s v="Pedro"/>
      </sharedItems>
    </cacheField>
    <cacheField name="Region" numFmtId="0">
      <sharedItems count="3">
        <s v="Norte"/>
        <s v="Sur"/>
        <s v="Este"/>
      </sharedItems>
    </cacheField>
    <cacheField name="Ventas" numFmtId="0">
      <sharedItems containsSemiMixedTypes="0" containsString="0" containsNumber="1" containsInteger="1" minValue="8000" maxValue="25000"/>
    </cacheField>
  </cacheFields>
  <extLst>
    <ext xmlns:x14="http://schemas.microsoft.com/office/spreadsheetml/2009/9/main" uri="{725AE2AE-9491-48be-B2B4-4EB974FC3084}">
      <x14:pivotCacheDefinition pivotCacheId="150299829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win" refreshedDate="46208.844736921295" createdVersion="8" refreshedVersion="8" minRefreshableVersion="3" recordCount="8" xr:uid="{8EA8883B-6495-4044-81A1-9DDAD0D2ECD7}">
  <cacheSource type="worksheet">
    <worksheetSource ref="A4:F12" sheet="Inicio"/>
  </cacheSource>
  <cacheFields count="6">
    <cacheField name="Fecha" numFmtId="167">
      <sharedItems containsSemiMixedTypes="0" containsNonDate="0" containsDate="1" containsString="0" minDate="2026-02-01T00:00:00" maxDate="2026-02-09T00:00:00" count="8"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</sharedItems>
    </cacheField>
    <cacheField name="Vendedor" numFmtId="0">
      <sharedItems count="8">
        <s v="Sofia"/>
        <s v="Pedro"/>
        <s v="Luis"/>
        <s v="Carlos"/>
        <s v="Maria"/>
        <s v="Ana"/>
        <s v="Carmen"/>
        <s v="Roberto"/>
      </sharedItems>
    </cacheField>
    <cacheField name="Region" numFmtId="0">
      <sharedItems count="4">
        <s v="Oeste"/>
        <s v="Este"/>
        <s v="Norte"/>
        <s v="Sur"/>
      </sharedItems>
    </cacheField>
    <cacheField name="Ventas" numFmtId="164">
      <sharedItems containsSemiMixedTypes="0" containsString="0" containsNumber="1" containsInteger="1" minValue="3000" maxValue="25000"/>
    </cacheField>
    <cacheField name="Bono" numFmtId="166">
      <sharedItems containsSemiMixedTypes="0" containsString="0" containsNumber="1" containsInteger="1" minValue="0" maxValue="2500"/>
    </cacheField>
    <cacheField name="Estado" numFmtId="0">
      <sharedItems count="2">
        <s v="Activo"/>
        <s v="INACTIVO"/>
      </sharedItems>
    </cacheField>
  </cacheFields>
  <extLst>
    <ext xmlns:x14="http://schemas.microsoft.com/office/spreadsheetml/2009/9/main" uri="{725AE2AE-9491-48be-B2B4-4EB974FC3084}">
      <x14:pivotCacheDefinition pivotCacheId="62034589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x v="0"/>
    <n v="15000"/>
  </r>
  <r>
    <x v="0"/>
    <x v="1"/>
    <x v="1"/>
    <n v="8000"/>
  </r>
  <r>
    <x v="0"/>
    <x v="2"/>
    <x v="2"/>
    <n v="22000"/>
  </r>
  <r>
    <x v="1"/>
    <x v="0"/>
    <x v="0"/>
    <n v="18000"/>
  </r>
  <r>
    <x v="1"/>
    <x v="1"/>
    <x v="1"/>
    <n v="9500"/>
  </r>
  <r>
    <x v="1"/>
    <x v="2"/>
    <x v="2"/>
    <n v="19000"/>
  </r>
  <r>
    <x v="2"/>
    <x v="0"/>
    <x v="0"/>
    <n v="22000"/>
  </r>
  <r>
    <x v="2"/>
    <x v="1"/>
    <x v="1"/>
    <n v="11000"/>
  </r>
  <r>
    <x v="2"/>
    <x v="2"/>
    <x v="2"/>
    <n v="250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x v="0"/>
    <n v="25000"/>
    <n v="2500"/>
    <x v="0"/>
  </r>
  <r>
    <x v="1"/>
    <x v="1"/>
    <x v="1"/>
    <n v="22000"/>
    <n v="2200"/>
    <x v="0"/>
  </r>
  <r>
    <x v="2"/>
    <x v="2"/>
    <x v="2"/>
    <n v="18000"/>
    <n v="1800"/>
    <x v="0"/>
  </r>
  <r>
    <x v="3"/>
    <x v="3"/>
    <x v="2"/>
    <n v="15000"/>
    <n v="1500"/>
    <x v="0"/>
  </r>
  <r>
    <x v="4"/>
    <x v="4"/>
    <x v="3"/>
    <n v="8000"/>
    <n v="0"/>
    <x v="1"/>
  </r>
  <r>
    <x v="5"/>
    <x v="5"/>
    <x v="0"/>
    <n v="5000"/>
    <n v="0"/>
    <x v="1"/>
  </r>
  <r>
    <x v="6"/>
    <x v="6"/>
    <x v="3"/>
    <n v="9000"/>
    <n v="0"/>
    <x v="0"/>
  </r>
  <r>
    <x v="7"/>
    <x v="7"/>
    <x v="1"/>
    <n v="3000"/>
    <n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ED5244-2B11-43AF-808A-900337823730}" name="TablaDinámica2" cacheId="14" applyNumberFormats="0" applyBorderFormats="0" applyFontFormats="0" applyPatternFormats="0" applyAlignmentFormats="0" applyWidthHeightFormats="1" dataCaption="Valores" updatedVersion="8" minRefreshableVersion="5" showDrill="0" useAutoFormatting="1" itemPrintTitles="1" createdVersion="8" indent="0" outline="1" outlineData="1" multipleFieldFilters="0">
  <location ref="A3:B12" firstHeaderRow="1" firstDataRow="1" firstDataCol="1" rowPageCount="1" colPageCount="1"/>
  <pivotFields count="6">
    <pivotField axis="axisPage" numFmtId="167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Row" showAll="0">
      <items count="9">
        <item x="5"/>
        <item x="3"/>
        <item x="6"/>
        <item x="2"/>
        <item x="4"/>
        <item x="1"/>
        <item x="7"/>
        <item x="0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dataField="1" showAll="0"/>
    <pivotField showAll="0"/>
    <pivotField showAll="0">
      <items count="3">
        <item x="0"/>
        <item x="1"/>
        <item t="default"/>
      </items>
    </pivotField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0" hier="-1"/>
  </pageFields>
  <dataFields count="1">
    <dataField name="Suma de Venta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3E03E1-E857-4231-972D-DCE5E7C956F8}" name="TablaDinámica3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1:D6" firstHeaderRow="1" firstDataRow="2" firstDataCol="1"/>
  <pivotFields count="4"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>
      <items count="4">
        <item x="2"/>
        <item x="0"/>
        <item h="1" x="1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2"/>
    </i>
    <i t="grand">
      <x/>
    </i>
  </colItems>
  <dataFields count="1">
    <dataField name="Suma de Ventas" fld="3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egion" xr10:uid="{698048C3-1B26-4962-B644-7352658979EB}" sourceName="Region">
  <pivotTables>
    <pivotTable tabId="5" name="TablaDinámica2"/>
  </pivotTables>
  <data>
    <tabular pivotCacheId="620345898">
      <items count="4">
        <i x="1" s="1"/>
        <i x="2" s="1"/>
        <i x="0" s="1"/>
        <i x="3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Estado" xr10:uid="{7B0BCC75-946F-47ED-89CE-1E4C787102FD}" sourceName="Estado">
  <pivotTables>
    <pivotTable tabId="5" name="TablaDinámica2"/>
  </pivotTables>
  <data>
    <tabular pivotCacheId="620345898">
      <items count="2">
        <i x="0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egion1" xr10:uid="{C8DB5024-3C37-4F44-B5B0-BB0F3E4C84E0}" sourceName="Region">
  <pivotTables>
    <pivotTable tabId="9" name="TablaDinámica3"/>
  </pivotTables>
  <data>
    <tabular pivotCacheId="150299829">
      <items count="3">
        <i x="2" s="1"/>
        <i x="0" s="1"/>
        <i x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" xr10:uid="{6F36042B-AC4C-49A3-B672-48E43E1BE370}" cache="SegmentaciónDeDatos_Region" caption="Region" rowHeight="234950"/>
  <slicer name="Estado" xr10:uid="{81C1DB03-F94E-4144-966C-C842AB256805}" cache="SegmentaciónDeDatos_Estado" caption="Estado" rowHeight="2349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 1" xr10:uid="{2F43DC38-5C7E-4B78-B894-81F6DFF3592D}" cache="SegmentaciónDeDatos_Region1" caption="Region" rowHeight="234950"/>
</slic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Fecha" xr10:uid="{3D4A18C4-1C17-447B-8D7E-EDA71886E770}" sourceName="Fecha">
  <pivotTables>
    <pivotTable tabId="5" name="TablaDinámica2"/>
  </pivotTables>
  <state minimalRefreshVersion="6" lastRefreshVersion="6" pivotCacheId="620345898" filterType="unknown">
    <bounds startDate="2026-01-01T00:00:00" endDate="2027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Fecha" xr10:uid="{69360E3E-D9FF-4DEF-98A1-E1078AA6AD5A}" cache="NativeTimeline_Fecha" caption="Fecha" level="2" selectionLevel="2" scrollPosition="2026-05-28T00:00:00"/>
</timeline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Relationship Id="rId4" Type="http://schemas.microsoft.com/office/2011/relationships/timeline" Target="../timelines/timelin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4B7CB-CFF5-4BEC-82A2-38AFD4EA9605}">
  <dimension ref="A1:K19"/>
  <sheetViews>
    <sheetView showWhiteSpace="0" view="pageLayout" zoomScale="60" zoomScaleNormal="100" zoomScalePageLayoutView="60" workbookViewId="0">
      <selection activeCell="R3" sqref="R3"/>
    </sheetView>
  </sheetViews>
  <sheetFormatPr baseColWidth="10" defaultRowHeight="14.4" x14ac:dyDescent="0.3"/>
  <cols>
    <col min="1" max="1" width="15.77734375" style="19" bestFit="1" customWidth="1"/>
    <col min="2" max="2" width="13.77734375" customWidth="1"/>
    <col min="3" max="3" width="13.6640625" customWidth="1"/>
    <col min="4" max="4" width="12.77734375" bestFit="1" customWidth="1"/>
    <col min="5" max="5" width="11.44140625" bestFit="1" customWidth="1"/>
    <col min="6" max="6" width="10.21875" bestFit="1" customWidth="1"/>
    <col min="17" max="17" width="11.77734375" customWidth="1"/>
  </cols>
  <sheetData>
    <row r="1" spans="1:11" ht="18" x14ac:dyDescent="0.35">
      <c r="B1" s="33"/>
      <c r="C1" s="33"/>
    </row>
    <row r="4" spans="1:11" ht="19.95" customHeight="1" x14ac:dyDescent="0.35">
      <c r="A4" s="20" t="s">
        <v>26</v>
      </c>
      <c r="B4" s="4" t="s">
        <v>0</v>
      </c>
      <c r="C4" s="4" t="s">
        <v>1</v>
      </c>
      <c r="D4" s="4" t="s">
        <v>2</v>
      </c>
      <c r="E4" s="4" t="s">
        <v>20</v>
      </c>
      <c r="F4" s="4" t="s">
        <v>3</v>
      </c>
    </row>
    <row r="5" spans="1:11" ht="19.95" customHeight="1" x14ac:dyDescent="0.3">
      <c r="A5" s="18">
        <v>46054</v>
      </c>
      <c r="B5" s="5" t="s">
        <v>16</v>
      </c>
      <c r="C5" s="5" t="s">
        <v>12</v>
      </c>
      <c r="D5" s="6">
        <v>25000</v>
      </c>
      <c r="E5" s="7">
        <f t="shared" ref="E5:E12" si="0">IF(D5&gt;=15000,D5*10%,0)</f>
        <v>2500</v>
      </c>
      <c r="F5" s="5" t="s">
        <v>6</v>
      </c>
    </row>
    <row r="6" spans="1:11" ht="19.95" customHeight="1" x14ac:dyDescent="0.3">
      <c r="A6" s="18">
        <v>46055</v>
      </c>
      <c r="B6" s="5" t="s">
        <v>9</v>
      </c>
      <c r="C6" s="5" t="s">
        <v>10</v>
      </c>
      <c r="D6" s="6">
        <v>22000</v>
      </c>
      <c r="E6" s="7">
        <f t="shared" si="0"/>
        <v>2200</v>
      </c>
      <c r="F6" s="5" t="s">
        <v>6</v>
      </c>
    </row>
    <row r="7" spans="1:11" ht="19.95" customHeight="1" x14ac:dyDescent="0.3">
      <c r="A7" s="18">
        <v>46056</v>
      </c>
      <c r="B7" s="5" t="s">
        <v>13</v>
      </c>
      <c r="C7" s="5" t="s">
        <v>5</v>
      </c>
      <c r="D7" s="6">
        <v>18000</v>
      </c>
      <c r="E7" s="7">
        <f t="shared" si="0"/>
        <v>1800</v>
      </c>
      <c r="F7" s="5" t="s">
        <v>6</v>
      </c>
      <c r="K7" s="23" t="s">
        <v>63</v>
      </c>
    </row>
    <row r="8" spans="1:11" ht="19.95" customHeight="1" x14ac:dyDescent="0.3">
      <c r="A8" s="18">
        <v>46057</v>
      </c>
      <c r="B8" s="8" t="s">
        <v>4</v>
      </c>
      <c r="C8" s="8" t="s">
        <v>5</v>
      </c>
      <c r="D8" s="9">
        <v>15000</v>
      </c>
      <c r="E8" s="7">
        <f t="shared" si="0"/>
        <v>1500</v>
      </c>
      <c r="F8" s="8" t="s">
        <v>6</v>
      </c>
    </row>
    <row r="9" spans="1:11" ht="19.95" customHeight="1" x14ac:dyDescent="0.3">
      <c r="A9" s="18">
        <v>46058</v>
      </c>
      <c r="B9" s="5" t="s">
        <v>7</v>
      </c>
      <c r="C9" s="5" t="s">
        <v>8</v>
      </c>
      <c r="D9" s="6">
        <v>8000</v>
      </c>
      <c r="E9" s="7">
        <f t="shared" si="0"/>
        <v>0</v>
      </c>
      <c r="F9" s="5" t="s">
        <v>21</v>
      </c>
    </row>
    <row r="10" spans="1:11" ht="19.95" customHeight="1" x14ac:dyDescent="0.3">
      <c r="A10" s="18">
        <v>46059</v>
      </c>
      <c r="B10" s="5" t="s">
        <v>11</v>
      </c>
      <c r="C10" s="5" t="s">
        <v>12</v>
      </c>
      <c r="D10" s="10">
        <v>5000</v>
      </c>
      <c r="E10" s="7">
        <f t="shared" si="0"/>
        <v>0</v>
      </c>
      <c r="F10" s="5" t="s">
        <v>21</v>
      </c>
    </row>
    <row r="11" spans="1:11" ht="19.95" customHeight="1" x14ac:dyDescent="0.3">
      <c r="A11" s="18">
        <v>46060</v>
      </c>
      <c r="B11" s="5" t="s">
        <v>14</v>
      </c>
      <c r="C11" s="5" t="s">
        <v>8</v>
      </c>
      <c r="D11" s="6">
        <v>9000</v>
      </c>
      <c r="E11" s="7">
        <f t="shared" si="0"/>
        <v>0</v>
      </c>
      <c r="F11" s="5" t="s">
        <v>6</v>
      </c>
    </row>
    <row r="12" spans="1:11" ht="19.95" customHeight="1" x14ac:dyDescent="0.3">
      <c r="A12" s="18">
        <v>46061</v>
      </c>
      <c r="B12" s="5" t="s">
        <v>15</v>
      </c>
      <c r="C12" s="5" t="s">
        <v>10</v>
      </c>
      <c r="D12" s="6">
        <v>3000</v>
      </c>
      <c r="E12" s="7">
        <f t="shared" si="0"/>
        <v>0</v>
      </c>
      <c r="F12" s="5" t="s">
        <v>21</v>
      </c>
    </row>
    <row r="13" spans="1:11" ht="19.95" customHeight="1" x14ac:dyDescent="0.3">
      <c r="B13" s="1" t="s">
        <v>17</v>
      </c>
      <c r="D13" s="3">
        <f>+SUM(D5:D12)</f>
        <v>105000</v>
      </c>
      <c r="E13" s="3"/>
    </row>
    <row r="14" spans="1:11" ht="19.95" customHeight="1" x14ac:dyDescent="0.3">
      <c r="B14" s="1" t="s">
        <v>18</v>
      </c>
      <c r="D14" s="2">
        <f>AVERAGE(D5:D13)</f>
        <v>23333.333333333332</v>
      </c>
      <c r="E14" s="2"/>
    </row>
    <row r="15" spans="1:11" ht="19.95" customHeight="1" x14ac:dyDescent="0.3">
      <c r="B15" s="1" t="s">
        <v>19</v>
      </c>
      <c r="D15" s="2">
        <f>MAX(D5:D12)</f>
        <v>25000</v>
      </c>
      <c r="E15" s="2"/>
    </row>
    <row r="17" spans="1:1" x14ac:dyDescent="0.3">
      <c r="A17" s="22" t="s">
        <v>29</v>
      </c>
    </row>
    <row r="18" spans="1:1" x14ac:dyDescent="0.3">
      <c r="A18" s="22" t="s">
        <v>28</v>
      </c>
    </row>
    <row r="19" spans="1:1" x14ac:dyDescent="0.3">
      <c r="A19" s="22" t="s">
        <v>30</v>
      </c>
    </row>
  </sheetData>
  <autoFilter ref="A4:F15" xr:uid="{2FF4B7CB-CFF5-4BEC-82A2-38AFD4EA9605}"/>
  <sortState xmlns:xlrd2="http://schemas.microsoft.com/office/spreadsheetml/2017/richdata2" ref="B5:F15">
    <sortCondition descending="1" ref="E8:E15"/>
  </sortState>
  <mergeCells count="1">
    <mergeCell ref="B1:C1"/>
  </mergeCells>
  <conditionalFormatting sqref="D5:D12">
    <cfRule type="cellIs" dxfId="5" priority="1" operator="lessThan">
      <formula>8000</formula>
    </cfRule>
    <cfRule type="cellIs" dxfId="4" priority="2" operator="between">
      <formula>8000</formula>
      <formula>15000</formula>
    </cfRule>
    <cfRule type="cellIs" dxfId="3" priority="3" operator="greaterThan">
      <formula>15000</formula>
    </cfRule>
  </conditionalFormatting>
  <hyperlinks>
    <hyperlink ref="A17" location="TableDinamica!A1" display="TableDinamica!A1" xr:uid="{5394D168-00E5-4201-9A63-64A7058AB1D2}"/>
    <hyperlink ref="A18" location="Insertar!A1" display="Insertar!A1" xr:uid="{56A51BD7-69B6-493B-9795-730D489CC22C}"/>
    <hyperlink ref="A19" location="Trazo!A1" display="Trazo!A1" xr:uid="{08E5EE8B-F46C-4140-BE96-935EBB795B71}"/>
  </hyperlinks>
  <pageMargins left="0.7" right="0.7" top="0.75" bottom="0.75" header="0.3" footer="0.3"/>
  <pageSetup orientation="portrait" r:id="rId1"/>
  <headerFooter>
    <oddHeader xml:space="preserve">&amp;LEdwin Villar - Data Analyst 2026&amp;CConfidencial
</oddHead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FA828-4AD1-4DDD-949A-94F2E38451CD}">
  <dimension ref="A1:B12"/>
  <sheetViews>
    <sheetView workbookViewId="0"/>
  </sheetViews>
  <sheetFormatPr baseColWidth="10" defaultRowHeight="14.4" x14ac:dyDescent="0.3"/>
  <cols>
    <col min="1" max="1" width="16.5546875" bestFit="1" customWidth="1"/>
    <col min="2" max="2" width="14.5546875" bestFit="1" customWidth="1"/>
  </cols>
  <sheetData>
    <row r="1" spans="1:2" x14ac:dyDescent="0.3">
      <c r="A1" s="12" t="s">
        <v>26</v>
      </c>
      <c r="B1" t="s">
        <v>22</v>
      </c>
    </row>
    <row r="3" spans="1:2" x14ac:dyDescent="0.3">
      <c r="A3" s="12" t="s">
        <v>23</v>
      </c>
      <c r="B3" t="s">
        <v>25</v>
      </c>
    </row>
    <row r="4" spans="1:2" x14ac:dyDescent="0.3">
      <c r="A4" s="13" t="s">
        <v>11</v>
      </c>
      <c r="B4" s="37">
        <v>5000</v>
      </c>
    </row>
    <row r="5" spans="1:2" x14ac:dyDescent="0.3">
      <c r="A5" s="13" t="s">
        <v>4</v>
      </c>
      <c r="B5" s="37">
        <v>15000</v>
      </c>
    </row>
    <row r="6" spans="1:2" x14ac:dyDescent="0.3">
      <c r="A6" s="13" t="s">
        <v>14</v>
      </c>
      <c r="B6" s="37">
        <v>9000</v>
      </c>
    </row>
    <row r="7" spans="1:2" x14ac:dyDescent="0.3">
      <c r="A7" s="13" t="s">
        <v>13</v>
      </c>
      <c r="B7" s="37">
        <v>18000</v>
      </c>
    </row>
    <row r="8" spans="1:2" x14ac:dyDescent="0.3">
      <c r="A8" s="13" t="s">
        <v>7</v>
      </c>
      <c r="B8" s="37">
        <v>8000</v>
      </c>
    </row>
    <row r="9" spans="1:2" x14ac:dyDescent="0.3">
      <c r="A9" s="13" t="s">
        <v>9</v>
      </c>
      <c r="B9" s="37">
        <v>22000</v>
      </c>
    </row>
    <row r="10" spans="1:2" x14ac:dyDescent="0.3">
      <c r="A10" s="13" t="s">
        <v>15</v>
      </c>
      <c r="B10" s="37">
        <v>3000</v>
      </c>
    </row>
    <row r="11" spans="1:2" x14ac:dyDescent="0.3">
      <c r="A11" s="13" t="s">
        <v>16</v>
      </c>
      <c r="B11" s="37">
        <v>25000</v>
      </c>
    </row>
    <row r="12" spans="1:2" x14ac:dyDescent="0.3">
      <c r="A12" s="13" t="s">
        <v>24</v>
      </c>
      <c r="B12" s="37">
        <v>105000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745E0-E4E0-4394-8C4D-6A2F2AAC7C69}">
  <dimension ref="A1:J19"/>
  <sheetViews>
    <sheetView zoomScaleNormal="100" workbookViewId="0">
      <selection activeCell="A19" sqref="A19"/>
    </sheetView>
  </sheetViews>
  <sheetFormatPr baseColWidth="10" defaultRowHeight="14.4" x14ac:dyDescent="0.3"/>
  <cols>
    <col min="2" max="2" width="12" bestFit="1" customWidth="1"/>
    <col min="3" max="3" width="10.5546875" bestFit="1" customWidth="1"/>
    <col min="4" max="4" width="12.77734375" bestFit="1" customWidth="1"/>
    <col min="5" max="5" width="10.33203125" customWidth="1"/>
    <col min="6" max="6" width="10.21875" bestFit="1" customWidth="1"/>
  </cols>
  <sheetData>
    <row r="1" spans="1:10" ht="18" x14ac:dyDescent="0.35">
      <c r="B1" s="11"/>
      <c r="C1" s="11"/>
      <c r="J1" s="23" t="s">
        <v>31</v>
      </c>
    </row>
    <row r="2" spans="1:10" ht="18" x14ac:dyDescent="0.35">
      <c r="B2" s="11"/>
      <c r="C2" s="11"/>
    </row>
    <row r="3" spans="1:10" ht="18" x14ac:dyDescent="0.35">
      <c r="B3" s="11"/>
      <c r="C3" s="11"/>
    </row>
    <row r="6" spans="1:10" ht="18" x14ac:dyDescent="0.35">
      <c r="A6" s="20" t="s">
        <v>26</v>
      </c>
      <c r="B6" s="4" t="s">
        <v>0</v>
      </c>
      <c r="C6" s="4" t="s">
        <v>1</v>
      </c>
      <c r="D6" s="4" t="s">
        <v>2</v>
      </c>
      <c r="E6" s="4" t="s">
        <v>20</v>
      </c>
      <c r="F6" s="4" t="s">
        <v>3</v>
      </c>
    </row>
    <row r="7" spans="1:10" x14ac:dyDescent="0.3">
      <c r="A7" s="18">
        <v>46054</v>
      </c>
      <c r="B7" s="5" t="s">
        <v>11</v>
      </c>
      <c r="C7" s="5" t="s">
        <v>12</v>
      </c>
      <c r="D7" s="10">
        <v>5000</v>
      </c>
      <c r="E7" s="14">
        <f>IF(D7&gt;=15000,D7*10%,0)</f>
        <v>0</v>
      </c>
      <c r="F7" s="5" t="s">
        <v>21</v>
      </c>
    </row>
    <row r="8" spans="1:10" x14ac:dyDescent="0.3">
      <c r="A8" s="18">
        <v>46055</v>
      </c>
      <c r="B8" s="8" t="s">
        <v>4</v>
      </c>
      <c r="C8" s="8" t="s">
        <v>5</v>
      </c>
      <c r="D8" s="9">
        <v>15000</v>
      </c>
      <c r="E8" s="7">
        <f>IF(D8&gt;=15000,D8*10%,0)</f>
        <v>1500</v>
      </c>
      <c r="F8" s="8" t="s">
        <v>6</v>
      </c>
    </row>
    <row r="9" spans="1:10" x14ac:dyDescent="0.3">
      <c r="A9" s="18">
        <v>46056</v>
      </c>
      <c r="B9" s="5" t="s">
        <v>14</v>
      </c>
      <c r="C9" s="5" t="s">
        <v>8</v>
      </c>
      <c r="D9" s="6">
        <v>9000</v>
      </c>
      <c r="E9" s="14">
        <f>IF(D9&gt;=15000,D9*10%,0)</f>
        <v>0</v>
      </c>
      <c r="F9" s="5" t="s">
        <v>6</v>
      </c>
    </row>
    <row r="10" spans="1:10" x14ac:dyDescent="0.3">
      <c r="A10" s="18">
        <v>46057</v>
      </c>
      <c r="B10" s="5" t="s">
        <v>13</v>
      </c>
      <c r="C10" s="5" t="s">
        <v>5</v>
      </c>
      <c r="D10" s="6">
        <v>18000</v>
      </c>
      <c r="E10" s="7">
        <f>IF(D10&gt;=15000,D10*10%,0)</f>
        <v>1800</v>
      </c>
      <c r="F10" s="5" t="s">
        <v>6</v>
      </c>
    </row>
    <row r="11" spans="1:10" x14ac:dyDescent="0.3">
      <c r="A11" s="18">
        <v>46058</v>
      </c>
      <c r="B11" s="5" t="s">
        <v>7</v>
      </c>
      <c r="C11" s="5" t="s">
        <v>8</v>
      </c>
      <c r="D11" s="6">
        <v>8000</v>
      </c>
      <c r="E11" s="14">
        <f>IF(D11&gt;=15000,D11*10%,0)</f>
        <v>0</v>
      </c>
      <c r="F11" s="5" t="s">
        <v>21</v>
      </c>
    </row>
    <row r="12" spans="1:10" x14ac:dyDescent="0.3">
      <c r="A12" s="18">
        <v>46059</v>
      </c>
      <c r="B12" s="15" t="s">
        <v>19</v>
      </c>
      <c r="C12" s="5"/>
      <c r="D12" s="6">
        <f>MAX(D1:D9)</f>
        <v>15000</v>
      </c>
      <c r="E12" s="6"/>
      <c r="F12" s="5"/>
    </row>
    <row r="13" spans="1:10" x14ac:dyDescent="0.3">
      <c r="A13" s="18">
        <v>46060</v>
      </c>
      <c r="B13" s="5" t="s">
        <v>9</v>
      </c>
      <c r="C13" s="5" t="s">
        <v>10</v>
      </c>
      <c r="D13" s="6">
        <v>22000</v>
      </c>
      <c r="E13" s="7">
        <f>IF(D13&gt;=15000,D13*10%,0)</f>
        <v>2200</v>
      </c>
      <c r="F13" s="5" t="s">
        <v>6</v>
      </c>
    </row>
    <row r="14" spans="1:10" x14ac:dyDescent="0.3">
      <c r="A14" s="18">
        <v>46061</v>
      </c>
      <c r="B14" s="15" t="s">
        <v>18</v>
      </c>
      <c r="C14" s="5"/>
      <c r="D14" s="6">
        <f>AVERAGE(D5:D13)</f>
        <v>13142.857142857143</v>
      </c>
      <c r="E14" s="6"/>
      <c r="F14" s="5"/>
    </row>
    <row r="15" spans="1:10" x14ac:dyDescent="0.3">
      <c r="B15" t="s">
        <v>15</v>
      </c>
      <c r="C15" t="s">
        <v>10</v>
      </c>
      <c r="D15" s="2">
        <v>3000</v>
      </c>
      <c r="E15" s="16">
        <f>IF(D15&gt;=15000,D15*10%,0)</f>
        <v>0</v>
      </c>
      <c r="F15" t="s">
        <v>21</v>
      </c>
    </row>
    <row r="16" spans="1:10" x14ac:dyDescent="0.3">
      <c r="B16" t="s">
        <v>16</v>
      </c>
      <c r="C16" t="s">
        <v>12</v>
      </c>
      <c r="D16" s="2">
        <v>25000</v>
      </c>
      <c r="E16" s="17">
        <f>IF(D16&gt;=15000,D16*10%,0)</f>
        <v>2500</v>
      </c>
      <c r="F16" t="s">
        <v>6</v>
      </c>
    </row>
    <row r="17" spans="1:5" x14ac:dyDescent="0.3">
      <c r="B17" s="1" t="s">
        <v>17</v>
      </c>
      <c r="D17" s="3">
        <f>+SUM(D9:D16)</f>
        <v>113142.85714285714</v>
      </c>
      <c r="E17" s="3"/>
    </row>
    <row r="19" spans="1:5" x14ac:dyDescent="0.3">
      <c r="A19" s="21" t="s">
        <v>27</v>
      </c>
    </row>
  </sheetData>
  <autoFilter ref="A6:F17" xr:uid="{568745E0-E4E0-4394-8C4D-6A2F2AAC7C69}"/>
  <conditionalFormatting sqref="D7:D14">
    <cfRule type="cellIs" dxfId="2" priority="1" operator="lessThan">
      <formula>8000</formula>
    </cfRule>
    <cfRule type="cellIs" dxfId="1" priority="2" operator="between">
      <formula>8000</formula>
      <formula>15000</formula>
    </cfRule>
    <cfRule type="cellIs" dxfId="0" priority="3" operator="greaterThan">
      <formula>15000</formula>
    </cfRule>
  </conditionalFormatting>
  <hyperlinks>
    <hyperlink ref="A19" location="TableDinamica!A1" display="Ver tabla Dinamica" xr:uid="{77251E7F-C1F6-4617-BBC7-AA368B58D367}"/>
  </hyperlinks>
  <pageMargins left="0.7" right="0.7" top="0.75" bottom="0.75" header="0.3" footer="0.3"/>
  <pageSetup orientation="portrait" r:id="rId1"/>
  <headerFooter differentOddEven="1" differentFirst="1">
    <oddHeader>&amp;C&amp;P&amp;T</oddHeader>
    <evenHeader>&amp;C&amp;A&amp;A&amp;Z&amp;F&amp;T&amp;D&amp;N&amp;P</evenHeader>
    <evenFooter>Página &amp;P</even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3EC68-2E73-4C73-B268-76CC72310ACD}">
  <dimension ref="A1:O21"/>
  <sheetViews>
    <sheetView topLeftCell="A10" zoomScale="94" zoomScaleNormal="94" workbookViewId="0">
      <selection activeCell="D16" sqref="D16"/>
    </sheetView>
  </sheetViews>
  <sheetFormatPr baseColWidth="10" defaultRowHeight="14.4" x14ac:dyDescent="0.3"/>
  <cols>
    <col min="4" max="4" width="19.5546875" customWidth="1"/>
    <col min="15" max="15" width="46.21875" customWidth="1"/>
  </cols>
  <sheetData>
    <row r="1" spans="1:15" ht="18" x14ac:dyDescent="0.35">
      <c r="A1" s="34" t="s">
        <v>41</v>
      </c>
      <c r="B1" s="34"/>
      <c r="C1" s="34"/>
      <c r="D1" s="24"/>
      <c r="E1" s="24"/>
    </row>
    <row r="2" spans="1:15" x14ac:dyDescent="0.3">
      <c r="A2" s="24"/>
      <c r="B2" s="24"/>
      <c r="C2" s="24"/>
      <c r="D2" s="24"/>
      <c r="E2" s="24"/>
    </row>
    <row r="3" spans="1:15" ht="27" customHeight="1" x14ac:dyDescent="0.3">
      <c r="A3" s="27" t="s">
        <v>32</v>
      </c>
      <c r="B3" s="27" t="s">
        <v>2</v>
      </c>
      <c r="C3" s="27" t="s">
        <v>33</v>
      </c>
      <c r="D3" s="27" t="s">
        <v>34</v>
      </c>
      <c r="E3" s="24"/>
      <c r="O3" s="25"/>
    </row>
    <row r="4" spans="1:15" x14ac:dyDescent="0.3">
      <c r="A4" s="26" t="s">
        <v>35</v>
      </c>
      <c r="B4" s="26">
        <v>150000</v>
      </c>
      <c r="C4" s="26">
        <v>45000</v>
      </c>
      <c r="D4" s="26">
        <v>105000</v>
      </c>
      <c r="E4" s="24"/>
    </row>
    <row r="5" spans="1:15" x14ac:dyDescent="0.3">
      <c r="A5" s="26" t="s">
        <v>36</v>
      </c>
      <c r="B5" s="26">
        <v>180000</v>
      </c>
      <c r="C5" s="26">
        <v>52000</v>
      </c>
      <c r="D5" s="26">
        <v>128000</v>
      </c>
      <c r="E5" s="24"/>
    </row>
    <row r="6" spans="1:15" ht="15" customHeight="1" x14ac:dyDescent="0.3">
      <c r="A6" s="26" t="s">
        <v>37</v>
      </c>
      <c r="B6" s="26">
        <v>165000</v>
      </c>
      <c r="C6" s="26">
        <v>48000</v>
      </c>
      <c r="D6" s="26">
        <v>117000</v>
      </c>
      <c r="E6" s="24"/>
      <c r="O6" s="25"/>
    </row>
    <row r="7" spans="1:15" x14ac:dyDescent="0.3">
      <c r="A7" s="26" t="s">
        <v>38</v>
      </c>
      <c r="B7" s="26">
        <v>195000</v>
      </c>
      <c r="C7" s="26">
        <v>55000</v>
      </c>
      <c r="D7" s="26">
        <v>140000</v>
      </c>
      <c r="E7" s="24"/>
    </row>
    <row r="8" spans="1:15" x14ac:dyDescent="0.3">
      <c r="A8" s="26" t="s">
        <v>39</v>
      </c>
      <c r="B8" s="26">
        <v>210000</v>
      </c>
      <c r="C8" s="26">
        <v>61000</v>
      </c>
      <c r="D8" s="26">
        <v>149000</v>
      </c>
      <c r="E8" s="24"/>
    </row>
    <row r="9" spans="1:15" x14ac:dyDescent="0.3">
      <c r="A9" s="26" t="s">
        <v>40</v>
      </c>
      <c r="B9" s="26">
        <v>188000</v>
      </c>
      <c r="C9" s="26">
        <v>53000</v>
      </c>
      <c r="D9" s="26">
        <v>135000</v>
      </c>
      <c r="E9" s="24"/>
    </row>
    <row r="10" spans="1:15" x14ac:dyDescent="0.3">
      <c r="A10" s="24"/>
      <c r="B10" s="24"/>
      <c r="C10" s="24"/>
      <c r="D10" s="24"/>
      <c r="E10" s="24"/>
    </row>
    <row r="16" spans="1:15" ht="43.2" x14ac:dyDescent="0.3">
      <c r="O16" s="25" t="s">
        <v>42</v>
      </c>
    </row>
    <row r="19" spans="15:15" ht="43.2" x14ac:dyDescent="0.3">
      <c r="O19" s="25" t="s">
        <v>43</v>
      </c>
    </row>
    <row r="21" spans="15:15" ht="43.2" x14ac:dyDescent="0.3">
      <c r="O21" s="25" t="s">
        <v>44</v>
      </c>
    </row>
  </sheetData>
  <mergeCells count="1">
    <mergeCell ref="A1:C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62A2E-1403-4C3E-8492-93F643BD10AE}">
  <dimension ref="A1:N17"/>
  <sheetViews>
    <sheetView workbookViewId="0">
      <selection activeCell="C18" sqref="C18"/>
    </sheetView>
  </sheetViews>
  <sheetFormatPr baseColWidth="10" defaultRowHeight="14.4" x14ac:dyDescent="0.3"/>
  <cols>
    <col min="1" max="1" width="19.109375" bestFit="1" customWidth="1"/>
    <col min="2" max="2" width="12.33203125" bestFit="1" customWidth="1"/>
    <col min="14" max="14" width="38.5546875" customWidth="1"/>
  </cols>
  <sheetData>
    <row r="1" spans="1:4" x14ac:dyDescent="0.3">
      <c r="A1" s="28" t="s">
        <v>45</v>
      </c>
      <c r="B1" s="28" t="s">
        <v>2</v>
      </c>
      <c r="C1" s="24"/>
      <c r="D1" s="24"/>
    </row>
    <row r="2" spans="1:4" x14ac:dyDescent="0.3">
      <c r="A2" s="29" t="s">
        <v>46</v>
      </c>
      <c r="B2" s="30">
        <v>150000</v>
      </c>
      <c r="C2" s="24"/>
      <c r="D2" s="24"/>
    </row>
    <row r="3" spans="1:4" x14ac:dyDescent="0.3">
      <c r="A3" s="29" t="s">
        <v>47</v>
      </c>
      <c r="B3" s="30">
        <v>280000</v>
      </c>
      <c r="C3" s="24"/>
      <c r="D3" s="24"/>
    </row>
    <row r="4" spans="1:4" x14ac:dyDescent="0.3">
      <c r="A4" s="29" t="s">
        <v>48</v>
      </c>
      <c r="B4" s="30">
        <v>195000</v>
      </c>
      <c r="C4" s="24"/>
      <c r="D4" s="24"/>
    </row>
    <row r="5" spans="1:4" x14ac:dyDescent="0.3">
      <c r="A5" s="29" t="s">
        <v>49</v>
      </c>
      <c r="B5" s="30">
        <v>320000</v>
      </c>
      <c r="C5" s="24"/>
      <c r="D5" s="24"/>
    </row>
    <row r="6" spans="1:4" x14ac:dyDescent="0.3">
      <c r="A6" s="29" t="s">
        <v>50</v>
      </c>
      <c r="B6" s="30">
        <v>175000</v>
      </c>
      <c r="C6" s="24"/>
      <c r="D6" s="24"/>
    </row>
    <row r="7" spans="1:4" x14ac:dyDescent="0.3">
      <c r="A7" s="29" t="s">
        <v>51</v>
      </c>
      <c r="B7" s="30">
        <v>140000</v>
      </c>
      <c r="C7" s="24"/>
      <c r="D7" s="24"/>
    </row>
    <row r="8" spans="1:4" x14ac:dyDescent="0.3">
      <c r="A8" s="29" t="s">
        <v>52</v>
      </c>
      <c r="B8" s="30">
        <v>90000</v>
      </c>
      <c r="C8" s="24"/>
      <c r="D8" s="24"/>
    </row>
    <row r="9" spans="1:4" x14ac:dyDescent="0.3">
      <c r="A9" s="29" t="s">
        <v>53</v>
      </c>
      <c r="B9" s="30">
        <v>115000</v>
      </c>
      <c r="C9" s="24"/>
      <c r="D9" s="24"/>
    </row>
    <row r="10" spans="1:4" x14ac:dyDescent="0.3">
      <c r="A10" s="29" t="s">
        <v>54</v>
      </c>
      <c r="B10" s="30">
        <v>85000</v>
      </c>
      <c r="C10" s="24"/>
      <c r="D10" s="24"/>
    </row>
    <row r="11" spans="1:4" x14ac:dyDescent="0.3">
      <c r="A11" s="29" t="s">
        <v>55</v>
      </c>
      <c r="B11" s="30">
        <v>70000</v>
      </c>
      <c r="C11" s="24"/>
      <c r="D11" s="24"/>
    </row>
    <row r="12" spans="1:4" x14ac:dyDescent="0.3">
      <c r="A12" s="24"/>
      <c r="B12" s="24"/>
      <c r="C12" s="24"/>
      <c r="D12" s="24"/>
    </row>
    <row r="13" spans="1:4" x14ac:dyDescent="0.3">
      <c r="A13" s="24"/>
      <c r="B13" s="24"/>
      <c r="C13" s="24"/>
      <c r="D13" s="24"/>
    </row>
    <row r="14" spans="1:4" x14ac:dyDescent="0.3">
      <c r="A14" s="24"/>
      <c r="B14" s="24"/>
      <c r="C14" s="24"/>
      <c r="D14" s="24"/>
    </row>
    <row r="17" spans="14:14" ht="43.2" x14ac:dyDescent="0.3">
      <c r="N17" s="31" t="s">
        <v>56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AD550-394B-4E6C-BDAA-97D8E446016C}">
  <dimension ref="A1:D6"/>
  <sheetViews>
    <sheetView workbookViewId="0">
      <selection activeCell="D11" sqref="D11"/>
    </sheetView>
  </sheetViews>
  <sheetFormatPr baseColWidth="10" defaultRowHeight="14.4" x14ac:dyDescent="0.3"/>
  <cols>
    <col min="1" max="1" width="16.5546875" bestFit="1" customWidth="1"/>
    <col min="2" max="2" width="21.44140625" bestFit="1" customWidth="1"/>
    <col min="3" max="3" width="6" bestFit="1" customWidth="1"/>
    <col min="4" max="5" width="11.88671875" bestFit="1" customWidth="1"/>
  </cols>
  <sheetData>
    <row r="1" spans="1:4" x14ac:dyDescent="0.3">
      <c r="A1" s="12" t="s">
        <v>25</v>
      </c>
      <c r="B1" s="12" t="s">
        <v>57</v>
      </c>
    </row>
    <row r="2" spans="1:4" x14ac:dyDescent="0.3">
      <c r="A2" s="12" t="s">
        <v>23</v>
      </c>
      <c r="B2" t="s">
        <v>4</v>
      </c>
      <c r="C2" t="s">
        <v>9</v>
      </c>
      <c r="D2" t="s">
        <v>24</v>
      </c>
    </row>
    <row r="3" spans="1:4" x14ac:dyDescent="0.3">
      <c r="A3" s="13" t="s">
        <v>35</v>
      </c>
      <c r="B3" s="37">
        <v>15000</v>
      </c>
      <c r="C3" s="37">
        <v>22000</v>
      </c>
      <c r="D3" s="37">
        <v>37000</v>
      </c>
    </row>
    <row r="4" spans="1:4" x14ac:dyDescent="0.3">
      <c r="A4" s="13" t="s">
        <v>36</v>
      </c>
      <c r="B4" s="37">
        <v>18000</v>
      </c>
      <c r="C4" s="37">
        <v>19000</v>
      </c>
      <c r="D4" s="37">
        <v>37000</v>
      </c>
    </row>
    <row r="5" spans="1:4" x14ac:dyDescent="0.3">
      <c r="A5" s="13" t="s">
        <v>37</v>
      </c>
      <c r="B5" s="37">
        <v>22000</v>
      </c>
      <c r="C5" s="37">
        <v>25000</v>
      </c>
      <c r="D5" s="37">
        <v>47000</v>
      </c>
    </row>
    <row r="6" spans="1:4" x14ac:dyDescent="0.3">
      <c r="A6" s="13" t="s">
        <v>24</v>
      </c>
      <c r="B6" s="37">
        <v>55000</v>
      </c>
      <c r="C6" s="37">
        <v>66000</v>
      </c>
      <c r="D6" s="37">
        <v>121000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EFED6-8A52-43FD-933C-2E5D6EBB25EA}">
  <dimension ref="A1:D12"/>
  <sheetViews>
    <sheetView workbookViewId="0">
      <selection activeCell="C7" sqref="C7"/>
    </sheetView>
  </sheetViews>
  <sheetFormatPr baseColWidth="10" defaultRowHeight="14.4" x14ac:dyDescent="0.3"/>
  <sheetData>
    <row r="1" spans="1:4" x14ac:dyDescent="0.3">
      <c r="A1" s="35" t="s">
        <v>58</v>
      </c>
      <c r="B1" s="35"/>
    </row>
    <row r="3" spans="1:4" ht="15.6" x14ac:dyDescent="0.3">
      <c r="A3" s="32" t="s">
        <v>32</v>
      </c>
      <c r="B3" s="32" t="s">
        <v>0</v>
      </c>
      <c r="C3" s="32" t="s">
        <v>1</v>
      </c>
      <c r="D3" s="32" t="s">
        <v>2</v>
      </c>
    </row>
    <row r="4" spans="1:4" x14ac:dyDescent="0.3">
      <c r="A4" s="5" t="s">
        <v>35</v>
      </c>
      <c r="B4" s="5" t="s">
        <v>4</v>
      </c>
      <c r="C4" s="5" t="s">
        <v>5</v>
      </c>
      <c r="D4" s="5">
        <v>15000</v>
      </c>
    </row>
    <row r="5" spans="1:4" x14ac:dyDescent="0.3">
      <c r="A5" s="5" t="s">
        <v>35</v>
      </c>
      <c r="B5" s="5" t="s">
        <v>7</v>
      </c>
      <c r="C5" s="5" t="s">
        <v>8</v>
      </c>
      <c r="D5" s="5">
        <v>8000</v>
      </c>
    </row>
    <row r="6" spans="1:4" x14ac:dyDescent="0.3">
      <c r="A6" s="5" t="s">
        <v>35</v>
      </c>
      <c r="B6" s="5" t="s">
        <v>9</v>
      </c>
      <c r="C6" s="5" t="s">
        <v>10</v>
      </c>
      <c r="D6" s="5">
        <v>22000</v>
      </c>
    </row>
    <row r="7" spans="1:4" x14ac:dyDescent="0.3">
      <c r="A7" s="5" t="s">
        <v>36</v>
      </c>
      <c r="B7" s="5" t="s">
        <v>4</v>
      </c>
      <c r="C7" s="5" t="s">
        <v>5</v>
      </c>
      <c r="D7" s="5">
        <v>18000</v>
      </c>
    </row>
    <row r="8" spans="1:4" x14ac:dyDescent="0.3">
      <c r="A8" s="5" t="s">
        <v>36</v>
      </c>
      <c r="B8" s="5" t="s">
        <v>7</v>
      </c>
      <c r="C8" s="5" t="s">
        <v>8</v>
      </c>
      <c r="D8" s="5">
        <v>9500</v>
      </c>
    </row>
    <row r="9" spans="1:4" x14ac:dyDescent="0.3">
      <c r="A9" s="5" t="s">
        <v>36</v>
      </c>
      <c r="B9" s="5" t="s">
        <v>9</v>
      </c>
      <c r="C9" s="5" t="s">
        <v>10</v>
      </c>
      <c r="D9" s="5">
        <v>19000</v>
      </c>
    </row>
    <row r="10" spans="1:4" x14ac:dyDescent="0.3">
      <c r="A10" s="5" t="s">
        <v>37</v>
      </c>
      <c r="B10" s="5" t="s">
        <v>4</v>
      </c>
      <c r="C10" s="5" t="s">
        <v>5</v>
      </c>
      <c r="D10" s="5">
        <v>22000</v>
      </c>
    </row>
    <row r="11" spans="1:4" x14ac:dyDescent="0.3">
      <c r="A11" s="5" t="s">
        <v>37</v>
      </c>
      <c r="B11" s="5" t="s">
        <v>7</v>
      </c>
      <c r="C11" s="5" t="s">
        <v>8</v>
      </c>
      <c r="D11" s="5">
        <v>11000</v>
      </c>
    </row>
    <row r="12" spans="1:4" x14ac:dyDescent="0.3">
      <c r="A12" s="5" t="s">
        <v>37</v>
      </c>
      <c r="B12" s="5" t="s">
        <v>9</v>
      </c>
      <c r="C12" s="5" t="s">
        <v>10</v>
      </c>
      <c r="D12" s="5">
        <v>25000</v>
      </c>
    </row>
  </sheetData>
  <mergeCells count="1">
    <mergeCell ref="A1:B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8E73E-1854-40C3-9449-85DEFD8D18C0}">
  <dimension ref="A3:I8"/>
  <sheetViews>
    <sheetView workbookViewId="0">
      <selection activeCell="I15" sqref="I15"/>
    </sheetView>
  </sheetViews>
  <sheetFormatPr baseColWidth="10" defaultRowHeight="14.4" x14ac:dyDescent="0.3"/>
  <cols>
    <col min="8" max="8" width="15.77734375" customWidth="1"/>
  </cols>
  <sheetData>
    <row r="3" spans="1:9" x14ac:dyDescent="0.3">
      <c r="A3" s="15" t="s">
        <v>0</v>
      </c>
      <c r="B3" s="36">
        <v>46023</v>
      </c>
      <c r="C3" s="36">
        <v>46054</v>
      </c>
      <c r="D3" s="36">
        <v>46082</v>
      </c>
      <c r="E3" s="36">
        <v>46113</v>
      </c>
      <c r="F3" s="36">
        <v>46143</v>
      </c>
      <c r="G3" s="36">
        <v>46174</v>
      </c>
      <c r="H3" s="15" t="s">
        <v>59</v>
      </c>
    </row>
    <row r="4" spans="1:9" ht="32.4" customHeight="1" x14ac:dyDescent="0.3">
      <c r="A4" s="5" t="s">
        <v>4</v>
      </c>
      <c r="B4" s="5">
        <v>15000</v>
      </c>
      <c r="C4" s="5">
        <v>18000</v>
      </c>
      <c r="D4" s="5">
        <v>22000</v>
      </c>
      <c r="E4" s="5">
        <v>19000</v>
      </c>
      <c r="F4" s="5">
        <v>25000</v>
      </c>
      <c r="G4" s="5">
        <v>23000</v>
      </c>
      <c r="H4" s="5"/>
      <c r="I4" s="1" t="s">
        <v>61</v>
      </c>
    </row>
    <row r="5" spans="1:9" ht="34.200000000000003" customHeight="1" x14ac:dyDescent="0.3">
      <c r="A5" s="5" t="s">
        <v>7</v>
      </c>
      <c r="B5" s="5">
        <v>8000</v>
      </c>
      <c r="C5" s="5">
        <v>9500</v>
      </c>
      <c r="D5" s="5">
        <v>11000</v>
      </c>
      <c r="E5" s="5">
        <v>8500</v>
      </c>
      <c r="F5" s="5">
        <v>12000</v>
      </c>
      <c r="G5" s="5">
        <v>13000</v>
      </c>
      <c r="H5" s="5"/>
    </row>
    <row r="6" spans="1:9" ht="32.4" customHeight="1" x14ac:dyDescent="0.3">
      <c r="A6" s="5" t="s">
        <v>9</v>
      </c>
      <c r="B6" s="5">
        <v>22000</v>
      </c>
      <c r="C6" s="5">
        <v>19000</v>
      </c>
      <c r="D6" s="5">
        <v>25000</v>
      </c>
      <c r="E6" s="5">
        <v>28000</v>
      </c>
      <c r="F6" s="5">
        <v>24000</v>
      </c>
      <c r="G6" s="5">
        <v>30000</v>
      </c>
      <c r="H6" s="5"/>
      <c r="I6" s="1" t="s">
        <v>60</v>
      </c>
    </row>
    <row r="7" spans="1:9" ht="38.4" customHeight="1" x14ac:dyDescent="0.3">
      <c r="A7" s="5" t="s">
        <v>11</v>
      </c>
      <c r="B7" s="5">
        <v>5000</v>
      </c>
      <c r="C7" s="5">
        <v>7000</v>
      </c>
      <c r="D7" s="5">
        <v>9000</v>
      </c>
      <c r="E7" s="5">
        <v>6000</v>
      </c>
      <c r="F7" s="5">
        <v>10000</v>
      </c>
      <c r="G7" s="5">
        <v>11000</v>
      </c>
      <c r="H7" s="5"/>
      <c r="I7" s="1" t="s">
        <v>62</v>
      </c>
    </row>
    <row r="8" spans="1:9" ht="35.4" customHeight="1" x14ac:dyDescent="0.3">
      <c r="A8" s="5" t="s">
        <v>13</v>
      </c>
      <c r="B8" s="5">
        <v>18000</v>
      </c>
      <c r="C8" s="5">
        <v>21000</v>
      </c>
      <c r="D8" s="5">
        <v>24000</v>
      </c>
      <c r="E8" s="5">
        <v>22000</v>
      </c>
      <c r="F8" s="5">
        <v>26000</v>
      </c>
      <c r="G8" s="5">
        <v>28000</v>
      </c>
      <c r="H8" s="5"/>
      <c r="I8" s="1"/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 low="1" negative="1" xr2:uid="{8AFA2040-A3CE-4AAF-B68F-B41AF99F766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Minigraficos!A5:G5</xm:f>
              <xm:sqref>H5</xm:sqref>
            </x14:sparkline>
            <x14:sparkline>
              <xm:f>Minigraficos!A6:G6</xm:f>
              <xm:sqref>H6</xm:sqref>
            </x14:sparkline>
            <x14:sparkline>
              <xm:f>Minigraficos!A7:G7</xm:f>
              <xm:sqref>H7</xm:sqref>
            </x14:sparkline>
            <x14:sparkline>
              <xm:f>Minigraficos!A8:G8</xm:f>
              <xm:sqref>H8</xm:sqref>
            </x14:sparkline>
          </x14:sparklines>
        </x14:sparklineGroup>
        <x14:sparklineGroup type="column" displayEmptyCellsAs="gap" xr2:uid="{35849346-6F81-4674-8544-EF0732A711B6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Minigraficos!H4</xm:f>
              <xm:sqref>H12</xm:sqref>
            </x14:sparkline>
          </x14:sparklines>
        </x14:sparklineGroup>
        <x14:sparklineGroup type="column" displayEmptyCellsAs="gap" high="1" low="1" first="1" last="1" negative="1" xr2:uid="{52F3C90C-BC4F-4CD7-B7F5-A1B12326D69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Minigraficos!B4:G4</xm:f>
              <xm:sqref>H4</xm:sqref>
            </x14:sparkline>
          </x14:sparklines>
        </x14:sparklineGroup>
      </x14:sparklineGroup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76946-46AA-48AD-A086-F3AE5A0C1F14}">
  <dimension ref="A1"/>
  <sheetViews>
    <sheetView tabSelected="1" workbookViewId="0">
      <selection activeCell="I19" sqref="I19"/>
    </sheetView>
  </sheetViews>
  <sheetFormatPr baseColWidth="10" defaultRowHeight="14.4" x14ac:dyDescent="0.3"/>
  <cols>
    <col min="6" max="8" width="11.6640625" customWidth="1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Inicio</vt:lpstr>
      <vt:lpstr>TableDinamica</vt:lpstr>
      <vt:lpstr>Insertar</vt:lpstr>
      <vt:lpstr>Graficos</vt:lpstr>
      <vt:lpstr>Mapa</vt:lpstr>
      <vt:lpstr>Pivot</vt:lpstr>
      <vt:lpstr>Dinamico</vt:lpstr>
      <vt:lpstr>Minigraficos</vt:lpstr>
      <vt:lpstr>Trazo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Villar</dc:creator>
  <cp:lastModifiedBy>Edwin Villar</cp:lastModifiedBy>
  <dcterms:created xsi:type="dcterms:W3CDTF">2026-07-03T00:57:07Z</dcterms:created>
  <dcterms:modified xsi:type="dcterms:W3CDTF">2026-07-06T00:38:31Z</dcterms:modified>
</cp:coreProperties>
</file>