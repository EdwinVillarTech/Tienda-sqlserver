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"/>
    </mc:Choice>
  </mc:AlternateContent>
  <xr:revisionPtr revIDLastSave="1" documentId="8_{1B477245-C39E-4D96-9F3A-884F2F9B15CD}" xr6:coauthVersionLast="47" xr6:coauthVersionMax="47" xr10:uidLastSave="{2EB605FB-D77E-41B4-8BEE-15D62B385718}"/>
  <bookViews>
    <workbookView xWindow="-108" yWindow="-108" windowWidth="23256" windowHeight="12456" firstSheet="1" activeTab="5" xr2:uid="{1AADD197-9328-46D8-85B1-0880F737AA8A}"/>
  </bookViews>
  <sheets>
    <sheet name="Productos" sheetId="1" r:id="rId1"/>
    <sheet name="Clientes" sheetId="2" r:id="rId2"/>
    <sheet name="Factura" sheetId="3" r:id="rId3"/>
    <sheet name="Empleados" sheetId="6" r:id="rId4"/>
    <sheet name="Deducciones" sheetId="7" r:id="rId5"/>
    <sheet name="Nomina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8" l="1"/>
  <c r="I14" i="8"/>
  <c r="I15" i="8"/>
  <c r="I16" i="8"/>
  <c r="Q14" i="3"/>
  <c r="R14" i="3" s="1"/>
  <c r="O14" i="3"/>
  <c r="Q13" i="3"/>
  <c r="R13" i="3" s="1"/>
  <c r="O13" i="3"/>
  <c r="Q12" i="3"/>
  <c r="R12" i="3" s="1"/>
  <c r="O12" i="3"/>
  <c r="Q11" i="3"/>
  <c r="R11" i="3" s="1"/>
  <c r="O11" i="3"/>
  <c r="Q10" i="3"/>
  <c r="R10" i="3" s="1"/>
  <c r="R16" i="3" s="1"/>
  <c r="O10" i="3"/>
  <c r="B20" i="3"/>
  <c r="H4" i="8"/>
  <c r="H5" i="8"/>
  <c r="H6" i="8"/>
  <c r="H7" i="8"/>
  <c r="H3" i="8"/>
  <c r="G4" i="8"/>
  <c r="G5" i="8"/>
  <c r="G6" i="8"/>
  <c r="G7" i="8"/>
  <c r="G3" i="8"/>
  <c r="F4" i="8"/>
  <c r="F5" i="8"/>
  <c r="F6" i="8"/>
  <c r="F7" i="8"/>
  <c r="F3" i="8"/>
  <c r="E5" i="8"/>
  <c r="E6" i="8"/>
  <c r="E7" i="8"/>
  <c r="E4" i="8"/>
  <c r="E3" i="8"/>
  <c r="B4" i="8" a="1"/>
  <c r="B4" i="8" s="1"/>
  <c r="B5" i="8" a="1"/>
  <c r="B5" i="8" s="1"/>
  <c r="B6" i="8" a="1"/>
  <c r="B6" i="8" s="1"/>
  <c r="B7" i="8" a="1"/>
  <c r="B7" i="8" s="1"/>
  <c r="C4" i="8"/>
  <c r="C5" i="8"/>
  <c r="C6" i="8"/>
  <c r="C7" i="8"/>
  <c r="D4" i="8"/>
  <c r="D5" i="8"/>
  <c r="D6" i="8"/>
  <c r="D7" i="8"/>
  <c r="D3" i="8"/>
  <c r="C3" i="8"/>
  <c r="B3" i="8" a="1"/>
  <c r="B3" i="8" s="1"/>
  <c r="E12" i="3"/>
  <c r="E13" i="3"/>
  <c r="E14" i="3"/>
  <c r="E15" i="3"/>
  <c r="B12" i="3"/>
  <c r="B13" i="3"/>
  <c r="B14" i="3"/>
  <c r="B15" i="3"/>
  <c r="B11" i="3"/>
  <c r="D12" i="3"/>
  <c r="D13" i="3"/>
  <c r="D14" i="3"/>
  <c r="D15" i="3"/>
  <c r="B6" i="3"/>
  <c r="B5" i="3"/>
  <c r="D11" i="3"/>
  <c r="E11" i="3" s="1"/>
  <c r="E17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<sst xmlns="http://schemas.openxmlformats.org/spreadsheetml/2006/main" count="135" uniqueCount="93">
  <si>
    <t>Departamento</t>
  </si>
  <si>
    <t>Supervisor</t>
  </si>
  <si>
    <t>Ventas</t>
  </si>
  <si>
    <t>RRHH</t>
  </si>
  <si>
    <t>TI</t>
  </si>
  <si>
    <t>Laptop</t>
  </si>
  <si>
    <t>ID</t>
  </si>
  <si>
    <t>Ciudad</t>
  </si>
  <si>
    <t>Producto</t>
  </si>
  <si>
    <t>Precio</t>
  </si>
  <si>
    <t>Mouse</t>
  </si>
  <si>
    <t>Silla</t>
  </si>
  <si>
    <t>Sistema-Facturacion-2026</t>
  </si>
  <si>
    <t>Categoria</t>
  </si>
  <si>
    <t>P001</t>
  </si>
  <si>
    <t>P002</t>
  </si>
  <si>
    <t>P003</t>
  </si>
  <si>
    <t>P004</t>
  </si>
  <si>
    <t>P005</t>
  </si>
  <si>
    <t>P006</t>
  </si>
  <si>
    <t>P007</t>
  </si>
  <si>
    <t>P008</t>
  </si>
  <si>
    <t>Teclado</t>
  </si>
  <si>
    <t>Escritorio</t>
  </si>
  <si>
    <t>Monitor</t>
  </si>
  <si>
    <t>Impresora</t>
  </si>
  <si>
    <t>Auriculares</t>
  </si>
  <si>
    <t>Tecnologia</t>
  </si>
  <si>
    <t>Muebles</t>
  </si>
  <si>
    <t>Accesorios</t>
  </si>
  <si>
    <t>Nombre</t>
  </si>
  <si>
    <t>Telefono</t>
  </si>
  <si>
    <t>C001</t>
  </si>
  <si>
    <t>C002</t>
  </si>
  <si>
    <t>C003</t>
  </si>
  <si>
    <t>C004</t>
  </si>
  <si>
    <t>C005</t>
  </si>
  <si>
    <t>Juan perez</t>
  </si>
  <si>
    <t>Maria Lopez</t>
  </si>
  <si>
    <t>Carlos Ruiz</t>
  </si>
  <si>
    <t>Ana Garcia</t>
  </si>
  <si>
    <t xml:space="preserve">Pedro Santos </t>
  </si>
  <si>
    <t>809-555-0101</t>
  </si>
  <si>
    <t>809-555-0102</t>
  </si>
  <si>
    <t>809-555-0103</t>
  </si>
  <si>
    <t>809-555-0104</t>
  </si>
  <si>
    <t>809-555-0105</t>
  </si>
  <si>
    <t>Santo Domingo</t>
  </si>
  <si>
    <t>Santiago</t>
  </si>
  <si>
    <t>La vega</t>
  </si>
  <si>
    <t>San Pedro</t>
  </si>
  <si>
    <t>Bonao</t>
  </si>
  <si>
    <t>FACTURA</t>
  </si>
  <si>
    <t>No.Factura:</t>
  </si>
  <si>
    <t>Nombre:</t>
  </si>
  <si>
    <t>Ciudad:</t>
  </si>
  <si>
    <t>Fecha:</t>
  </si>
  <si>
    <t>ID Cliente:</t>
  </si>
  <si>
    <t>001</t>
  </si>
  <si>
    <t>ID Producto</t>
  </si>
  <si>
    <t xml:space="preserve">Descripcion </t>
  </si>
  <si>
    <t>Cantidad</t>
  </si>
  <si>
    <t>Precio Unit.</t>
  </si>
  <si>
    <t>Total</t>
  </si>
  <si>
    <t>Cargo</t>
  </si>
  <si>
    <t>Salario Base</t>
  </si>
  <si>
    <t>E001</t>
  </si>
  <si>
    <t>E002</t>
  </si>
  <si>
    <t>E003</t>
  </si>
  <si>
    <t>E004</t>
  </si>
  <si>
    <t>E005</t>
  </si>
  <si>
    <t>Sistema-Nomina-2026</t>
  </si>
  <si>
    <t>Juan Perez</t>
  </si>
  <si>
    <t>Pedro Santos</t>
  </si>
  <si>
    <t>Analista</t>
  </si>
  <si>
    <t>Tecnico</t>
  </si>
  <si>
    <t>Coordinador</t>
  </si>
  <si>
    <t>Contabilidad</t>
  </si>
  <si>
    <t>Operaciones</t>
  </si>
  <si>
    <t>Deduccion</t>
  </si>
  <si>
    <t>Porcentaje</t>
  </si>
  <si>
    <t>Descricpion</t>
  </si>
  <si>
    <t>AFP</t>
  </si>
  <si>
    <t>SFS</t>
  </si>
  <si>
    <t>ISR</t>
  </si>
  <si>
    <t>AFP Empleador</t>
  </si>
  <si>
    <t>SFS Empleador</t>
  </si>
  <si>
    <t>Fondo de pensiones</t>
  </si>
  <si>
    <t>Seguro salud</t>
  </si>
  <si>
    <t>Impuesto sobre la renta</t>
  </si>
  <si>
    <t>Aporte empleador pensiones</t>
  </si>
  <si>
    <t xml:space="preserve">Aporteempleador salud </t>
  </si>
  <si>
    <t>Salario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</si>
</sst>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/yyyy;@"/>
    <numFmt numFmtId="165" formatCode="_-[$$-2C0A]\ * #,##0.00_-;\-[$$-2C0A]\ * #,##0.00_-;_-[$$-2C0A]\ * &quot;-&quot;??_-;_-@_-"/>
    <numFmt numFmtId="166" formatCode="[$$-1C0A]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43" fontId="7" fillId="0" borderId="0" xfId="1" applyFont="1"/>
    <xf numFmtId="49" fontId="9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8" fillId="2" borderId="1" xfId="0" applyFont="1" applyFill="1" applyBorder="1"/>
    <xf numFmtId="165" fontId="6" fillId="0" borderId="1" xfId="0" applyNumberFormat="1" applyFont="1" applyBorder="1"/>
    <xf numFmtId="0" fontId="7" fillId="0" borderId="1" xfId="0" applyFont="1" applyBorder="1"/>
    <xf numFmtId="0" fontId="8" fillId="0" borderId="1" xfId="0" applyFont="1" applyBorder="1"/>
    <xf numFmtId="10" fontId="7" fillId="0" borderId="0" xfId="0" applyNumberFormat="1" applyFont="1"/>
    <xf numFmtId="9" fontId="7" fillId="0" borderId="0" xfId="0" applyNumberFormat="1" applyFont="1"/>
    <xf numFmtId="0" fontId="2" fillId="0" borderId="1" xfId="0" applyFont="1" applyBorder="1"/>
    <xf numFmtId="0" fontId="0" fillId="0" borderId="1" xfId="0" applyBorder="1"/>
    <xf numFmtId="166" fontId="0" fillId="0" borderId="1" xfId="0" applyNumberFormat="1" applyBorder="1"/>
    <xf numFmtId="166" fontId="0" fillId="0" borderId="1" xfId="2" applyNumberFormat="1" applyFont="1" applyBorder="1"/>
    <xf numFmtId="0" fontId="4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6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7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0070C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4" formatCode="0.00%"/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EBB878-3071-4228-9DC3-E5FA0E540958}" name="Table1" displayName="Table1" ref="A3:D11" totalsRowShown="0" headerRowDxfId="77" dataDxfId="76">
  <autoFilter ref="A3:D11" xr:uid="{F3EBB878-3071-4228-9DC3-E5FA0E540958}"/>
  <tableColumns count="4">
    <tableColumn id="1" xr3:uid="{AC270179-B770-4A55-89C3-366393ADC710}" name="ID" dataDxfId="75"/>
    <tableColumn id="2" xr3:uid="{A59FA3E5-3E5E-4B46-A8C5-38A2E10F648D}" name="Producto" dataDxfId="74"/>
    <tableColumn id="3" xr3:uid="{74DBE885-62F6-48FC-97BE-90A6D263DDCA}" name="Precio" dataDxfId="73"/>
    <tableColumn id="4" xr3:uid="{96C4342D-38D2-4AB5-85E0-14BC57828CBB}" name="Categoria" dataDxfId="72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979006-B11F-4BCF-90F2-86E3AD3DD8CC}" name="Table2" displayName="Table2" ref="A1:D6" totalsRowShown="0" headerRowDxfId="71" dataDxfId="70">
  <autoFilter ref="A1:D6" xr:uid="{19979006-B11F-4BCF-90F2-86E3AD3DD8CC}"/>
  <tableColumns count="4">
    <tableColumn id="1" xr3:uid="{E94E84D2-5AD0-4675-8CA6-DA732E039C59}" name="ID" dataDxfId="69"/>
    <tableColumn id="2" xr3:uid="{766E3D87-BE6B-4552-BE11-480444A70460}" name="Nombre" dataDxfId="68"/>
    <tableColumn id="3" xr3:uid="{91F7F672-305D-452C-AC19-5BD570EE8FC3}" name="Telefono" dataDxfId="67"/>
    <tableColumn id="4" xr3:uid="{90E83430-8DC5-4ED9-B100-B02078E0B45F}" name="Ciudad" dataDxfId="6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CEEAD6-D8EF-4D38-BBE5-5291BA23C2A1}" name="Table3" displayName="Table3" ref="A4:E9" totalsRowShown="0" headerRowDxfId="65" dataDxfId="64">
  <autoFilter ref="A4:E9" xr:uid="{05CEEAD6-D8EF-4D38-BBE5-5291BA23C2A1}"/>
  <tableColumns count="5">
    <tableColumn id="1" xr3:uid="{107FF9AB-70BE-4782-94AE-2FE0AEBF80BA}" name="ID" dataDxfId="63"/>
    <tableColumn id="2" xr3:uid="{B0C4D7AE-CCC0-44D9-A433-949FC1A7925F}" name="Nombre" dataDxfId="62"/>
    <tableColumn id="3" xr3:uid="{401D7B0D-EC92-4521-A7F1-2C3A8C59AE26}" name="Cargo" dataDxfId="61"/>
    <tableColumn id="4" xr3:uid="{CFC7E71E-23D1-482A-B86C-9795C38B9668}" name="Departamento" dataDxfId="60"/>
    <tableColumn id="5" xr3:uid="{076BBFD2-0C73-47B2-9DFB-64ABEA499F64}" name="Salario Base" dataDxfId="59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57F08D-90F7-40C8-A75A-BE1F169DA021}" name="Table5" displayName="Table5" ref="A1:C6" totalsRowShown="0" headerRowDxfId="58" dataDxfId="57">
  <autoFilter ref="A1:C6" xr:uid="{9857F08D-90F7-40C8-A75A-BE1F169DA021}"/>
  <tableColumns count="3">
    <tableColumn id="1" xr3:uid="{8322CC01-820B-411F-A501-D323DBC0EB08}" name="Deduccion" dataDxfId="56"/>
    <tableColumn id="2" xr3:uid="{C17891BE-BEA8-42B1-B081-9D3F45FDA524}" name="Porcentaje" dataDxfId="55"/>
    <tableColumn id="3" xr3:uid="{17FC8646-CD47-424B-B45A-DFB276E2D8DF}" name="Descricpion" dataDxfId="54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1F382-4BB4-440D-804D-9AD43E6E56BD}">
  <sheetPr>
    <tabColor theme="7"/>
  </sheetPr>
  <dimension ref="A1:E11"/>
  <sheetViews>
    <sheetView workbookViewId="0">
      <selection activeCell="D14" sqref="D14"/>
    </sheetView>
  </sheetViews>
  <sheetFormatPr defaultRowHeight="14.4" x14ac:dyDescent="0.3"/>
  <cols>
    <col min="1" max="1" width="5.5546875" bestFit="1" customWidth="1"/>
    <col min="2" max="2" width="11.6640625" bestFit="1" customWidth="1"/>
    <col min="3" max="3" width="9.21875" bestFit="1" customWidth="1"/>
    <col min="4" max="4" width="12.5546875" bestFit="1" customWidth="1"/>
  </cols>
  <sheetData>
    <row r="1" spans="1:5" ht="17.399999999999999" x14ac:dyDescent="0.3">
      <c r="A1" s="19" t="s">
        <v>12</v>
      </c>
      <c r="B1" s="19"/>
      <c r="C1" s="19"/>
      <c r="D1" s="19"/>
      <c r="E1" s="19"/>
    </row>
    <row r="3" spans="1:5" ht="15.6" x14ac:dyDescent="0.3">
      <c r="A3" s="4" t="s">
        <v>6</v>
      </c>
      <c r="B3" s="4" t="s">
        <v>8</v>
      </c>
      <c r="C3" s="4" t="s">
        <v>9</v>
      </c>
      <c r="D3" s="4" t="s">
        <v>13</v>
      </c>
    </row>
    <row r="4" spans="1:5" ht="15.6" x14ac:dyDescent="0.3">
      <c r="A4" s="4" t="s">
        <v>14</v>
      </c>
      <c r="B4" s="4" t="s">
        <v>5</v>
      </c>
      <c r="C4" s="4">
        <v>4500</v>
      </c>
      <c r="D4" s="4" t="s">
        <v>27</v>
      </c>
    </row>
    <row r="5" spans="1:5" ht="15.6" x14ac:dyDescent="0.3">
      <c r="A5" s="4" t="s">
        <v>15</v>
      </c>
      <c r="B5" s="4" t="s">
        <v>10</v>
      </c>
      <c r="C5" s="4">
        <v>800</v>
      </c>
      <c r="D5" s="4" t="s">
        <v>27</v>
      </c>
    </row>
    <row r="6" spans="1:5" ht="15.6" x14ac:dyDescent="0.3">
      <c r="A6" s="4" t="s">
        <v>16</v>
      </c>
      <c r="B6" s="4" t="s">
        <v>22</v>
      </c>
      <c r="C6" s="4">
        <v>1500</v>
      </c>
      <c r="D6" s="4" t="s">
        <v>27</v>
      </c>
    </row>
    <row r="7" spans="1:5" ht="15.6" x14ac:dyDescent="0.3">
      <c r="A7" s="4" t="s">
        <v>17</v>
      </c>
      <c r="B7" s="4" t="s">
        <v>11</v>
      </c>
      <c r="C7" s="4">
        <v>3500</v>
      </c>
      <c r="D7" s="4" t="s">
        <v>28</v>
      </c>
    </row>
    <row r="8" spans="1:5" ht="15.6" x14ac:dyDescent="0.3">
      <c r="A8" s="4" t="s">
        <v>18</v>
      </c>
      <c r="B8" s="4" t="s">
        <v>23</v>
      </c>
      <c r="C8" s="4">
        <v>8000</v>
      </c>
      <c r="D8" s="4" t="s">
        <v>28</v>
      </c>
    </row>
    <row r="9" spans="1:5" ht="15.6" x14ac:dyDescent="0.3">
      <c r="A9" s="4" t="s">
        <v>19</v>
      </c>
      <c r="B9" s="4" t="s">
        <v>24</v>
      </c>
      <c r="C9" s="4">
        <v>12000</v>
      </c>
      <c r="D9" s="4" t="s">
        <v>27</v>
      </c>
    </row>
    <row r="10" spans="1:5" ht="15.6" x14ac:dyDescent="0.3">
      <c r="A10" s="4" t="s">
        <v>20</v>
      </c>
      <c r="B10" s="4" t="s">
        <v>25</v>
      </c>
      <c r="C10" s="4">
        <v>8500</v>
      </c>
      <c r="D10" s="4" t="s">
        <v>27</v>
      </c>
    </row>
    <row r="11" spans="1:5" ht="15.6" x14ac:dyDescent="0.3">
      <c r="A11" s="4" t="s">
        <v>21</v>
      </c>
      <c r="B11" s="4" t="s">
        <v>26</v>
      </c>
      <c r="C11" s="4">
        <v>2500</v>
      </c>
      <c r="D11" s="4" t="s">
        <v>29</v>
      </c>
    </row>
  </sheetData>
  <mergeCells count="1">
    <mergeCell ref="A1:E1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4CE3-8DA2-4DD0-94E1-DA879F83D8A2}">
  <sheetPr>
    <tabColor theme="8"/>
  </sheetPr>
  <dimension ref="A1:D6"/>
  <sheetViews>
    <sheetView workbookViewId="0">
      <selection activeCell="C15" sqref="C15"/>
    </sheetView>
  </sheetViews>
  <sheetFormatPr defaultRowHeight="14.4" x14ac:dyDescent="0.3"/>
  <cols>
    <col min="1" max="1" width="5.77734375" bestFit="1" customWidth="1"/>
    <col min="2" max="2" width="13.21875" bestFit="1" customWidth="1"/>
    <col min="3" max="3" width="13.77734375" bestFit="1" customWidth="1"/>
    <col min="4" max="4" width="14.5546875" bestFit="1" customWidth="1"/>
  </cols>
  <sheetData>
    <row r="1" spans="1:4" ht="15.6" x14ac:dyDescent="0.3">
      <c r="A1" s="4" t="s">
        <v>6</v>
      </c>
      <c r="B1" s="4" t="s">
        <v>30</v>
      </c>
      <c r="C1" s="4" t="s">
        <v>31</v>
      </c>
      <c r="D1" s="4" t="s">
        <v>7</v>
      </c>
    </row>
    <row r="2" spans="1:4" ht="15.6" x14ac:dyDescent="0.3">
      <c r="A2" s="4" t="s">
        <v>32</v>
      </c>
      <c r="B2" s="4" t="s">
        <v>37</v>
      </c>
      <c r="C2" s="4" t="s">
        <v>42</v>
      </c>
      <c r="D2" s="4" t="s">
        <v>47</v>
      </c>
    </row>
    <row r="3" spans="1:4" ht="15.6" x14ac:dyDescent="0.3">
      <c r="A3" s="4" t="s">
        <v>33</v>
      </c>
      <c r="B3" s="4" t="s">
        <v>38</v>
      </c>
      <c r="C3" s="4" t="s">
        <v>43</v>
      </c>
      <c r="D3" s="4" t="s">
        <v>48</v>
      </c>
    </row>
    <row r="4" spans="1:4" ht="15.6" x14ac:dyDescent="0.3">
      <c r="A4" s="4" t="s">
        <v>34</v>
      </c>
      <c r="B4" s="4" t="s">
        <v>39</v>
      </c>
      <c r="C4" s="4" t="s">
        <v>44</v>
      </c>
      <c r="D4" s="4" t="s">
        <v>49</v>
      </c>
    </row>
    <row r="5" spans="1:4" ht="15.6" x14ac:dyDescent="0.3">
      <c r="A5" s="4" t="s">
        <v>35</v>
      </c>
      <c r="B5" s="4" t="s">
        <v>40</v>
      </c>
      <c r="C5" s="4" t="s">
        <v>45</v>
      </c>
      <c r="D5" s="4" t="s">
        <v>50</v>
      </c>
    </row>
    <row r="6" spans="1:4" ht="15.6" x14ac:dyDescent="0.3">
      <c r="A6" s="4" t="s">
        <v>36</v>
      </c>
      <c r="B6" s="4" t="s">
        <v>41</v>
      </c>
      <c r="C6" s="4" t="s">
        <v>46</v>
      </c>
      <c r="D6" s="4" t="s">
        <v>51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0042-A2A3-4420-8759-30C8CD38C4BC}">
  <sheetPr>
    <tabColor theme="9"/>
  </sheetPr>
  <dimension ref="A1:R25"/>
  <sheetViews>
    <sheetView zoomScale="85" zoomScaleNormal="85" workbookViewId="0">
      <selection activeCell="E23" sqref="E23"/>
    </sheetView>
  </sheetViews>
  <sheetFormatPr defaultRowHeight="14.4" x14ac:dyDescent="0.3"/>
  <cols>
    <col min="1" max="1" width="13" bestFit="1" customWidth="1"/>
    <col min="2" max="2" width="15.109375" bestFit="1" customWidth="1"/>
    <col min="3" max="3" width="9.88671875" bestFit="1" customWidth="1"/>
    <col min="4" max="4" width="13.109375" bestFit="1" customWidth="1"/>
    <col min="5" max="5" width="12.44140625" bestFit="1" customWidth="1"/>
    <col min="6" max="6" width="6.77734375" bestFit="1" customWidth="1"/>
    <col min="14" max="14" width="13" bestFit="1" customWidth="1"/>
    <col min="15" max="15" width="20.5546875" bestFit="1" customWidth="1"/>
    <col min="16" max="16" width="9.88671875" bestFit="1" customWidth="1"/>
    <col min="17" max="17" width="13" customWidth="1"/>
    <col min="18" max="18" width="6.5546875" bestFit="1" customWidth="1"/>
  </cols>
  <sheetData>
    <row r="1" spans="1:18" ht="22.8" x14ac:dyDescent="0.4">
      <c r="A1" s="20" t="s">
        <v>52</v>
      </c>
      <c r="B1" s="20"/>
      <c r="C1" s="2"/>
      <c r="D1" s="2"/>
      <c r="E1" s="2"/>
      <c r="F1" s="2"/>
      <c r="G1" s="2"/>
      <c r="H1" s="2"/>
      <c r="I1" s="2"/>
      <c r="J1" s="2"/>
      <c r="K1" s="2"/>
    </row>
    <row r="2" spans="1:18" ht="15.6" x14ac:dyDescent="0.3">
      <c r="A2" s="3" t="s">
        <v>53</v>
      </c>
      <c r="B2" s="6" t="s">
        <v>58</v>
      </c>
      <c r="C2" s="2"/>
      <c r="D2" s="2"/>
      <c r="E2" s="2"/>
      <c r="F2" s="2"/>
      <c r="G2" s="2"/>
      <c r="H2" s="2"/>
      <c r="I2" s="2"/>
      <c r="J2" s="2"/>
      <c r="K2" s="2"/>
    </row>
    <row r="3" spans="1:18" ht="15.6" x14ac:dyDescent="0.3">
      <c r="A3" s="3" t="s">
        <v>56</v>
      </c>
      <c r="B3" s="7">
        <v>46190</v>
      </c>
      <c r="C3" s="2"/>
      <c r="D3" s="2"/>
      <c r="E3" s="2"/>
      <c r="F3" s="2"/>
      <c r="G3" s="2"/>
      <c r="H3" s="2"/>
      <c r="I3" s="2"/>
      <c r="J3" s="2"/>
      <c r="K3" s="2"/>
    </row>
    <row r="4" spans="1:18" ht="15.6" x14ac:dyDescent="0.3">
      <c r="A4" s="3" t="s">
        <v>57</v>
      </c>
      <c r="B4" s="8" t="s">
        <v>36</v>
      </c>
      <c r="C4" s="2"/>
      <c r="D4" s="2"/>
      <c r="E4" s="2"/>
      <c r="F4" s="2"/>
      <c r="G4" s="2"/>
      <c r="H4" s="2"/>
      <c r="I4" s="2"/>
      <c r="J4" s="2"/>
      <c r="K4" s="2"/>
    </row>
    <row r="5" spans="1:18" ht="15.6" x14ac:dyDescent="0.3">
      <c r="A5" s="3" t="s">
        <v>54</v>
      </c>
      <c r="B5" s="8" t="str">
        <f>_xlfn.XLOOKUP(B4,Clientes!A:A,Clientes!B:B,"Cliente no encontrado")</f>
        <v xml:space="preserve">Pedro Santos </v>
      </c>
      <c r="C5" s="2"/>
      <c r="D5" s="2"/>
      <c r="E5" s="2"/>
      <c r="F5" s="2"/>
      <c r="G5" s="2"/>
      <c r="H5" s="2"/>
      <c r="I5" s="2"/>
      <c r="J5" s="2"/>
      <c r="K5" s="2"/>
    </row>
    <row r="6" spans="1:18" ht="15.6" x14ac:dyDescent="0.3">
      <c r="A6" s="3" t="s">
        <v>55</v>
      </c>
      <c r="B6" s="8" t="str">
        <f>_xlfn.XLOOKUP(B4,Clientes!A:A,Clientes!D:D,"Ciudad no encontrada")</f>
        <v>Bonao</v>
      </c>
      <c r="C6" s="2"/>
      <c r="D6" s="2"/>
      <c r="E6" s="2"/>
      <c r="F6" s="2"/>
      <c r="G6" s="2"/>
      <c r="H6" s="2"/>
      <c r="I6" s="2"/>
      <c r="J6" s="2"/>
      <c r="K6" s="2"/>
    </row>
    <row r="7" spans="1:18" x14ac:dyDescent="0.3">
      <c r="A7" s="2"/>
      <c r="B7" s="2"/>
      <c r="C7" s="2"/>
      <c r="D7" s="5"/>
      <c r="E7" s="2"/>
      <c r="F7" s="2"/>
      <c r="G7" s="2"/>
      <c r="H7" s="2"/>
      <c r="I7" s="2"/>
      <c r="J7" s="2"/>
      <c r="K7" s="2"/>
    </row>
    <row r="8" spans="1:18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8" ht="15.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N9" s="9" t="s">
        <v>59</v>
      </c>
      <c r="O9" s="9" t="s">
        <v>60</v>
      </c>
      <c r="P9" s="9" t="s">
        <v>61</v>
      </c>
      <c r="Q9" s="9" t="s">
        <v>62</v>
      </c>
      <c r="R9" s="9" t="s">
        <v>63</v>
      </c>
    </row>
    <row r="10" spans="1:18" ht="15.6" x14ac:dyDescent="0.3">
      <c r="A10" s="9" t="s">
        <v>59</v>
      </c>
      <c r="B10" s="9" t="s">
        <v>60</v>
      </c>
      <c r="C10" s="9" t="s">
        <v>61</v>
      </c>
      <c r="D10" s="9" t="s">
        <v>62</v>
      </c>
      <c r="E10" s="9" t="s">
        <v>63</v>
      </c>
      <c r="F10" s="3"/>
      <c r="G10" s="2"/>
      <c r="H10" s="2"/>
      <c r="I10" s="2"/>
      <c r="J10" s="2"/>
      <c r="K10" s="2"/>
      <c r="N10" s="12" t="s">
        <v>14</v>
      </c>
      <c r="O10" s="11" t="str">
        <f>_xlfn.XLOOKUP(N10,Productos!N:N,Productos!O:O,"Producto no encontrado")</f>
        <v>Producto no encontrado</v>
      </c>
      <c r="P10" s="11">
        <v>2</v>
      </c>
      <c r="Q10" s="10">
        <f>_xlfn.XLOOKUP(N10,Productos!N:N,Productos!P:P,0)</f>
        <v>0</v>
      </c>
      <c r="R10" s="10">
        <f>P10*Q10</f>
        <v>0</v>
      </c>
    </row>
    <row r="11" spans="1:18" ht="15.6" x14ac:dyDescent="0.3">
      <c r="A11" s="12" t="s">
        <v>14</v>
      </c>
      <c r="B11" s="11" t="str">
        <f>_xlfn.XLOOKUP(A11,Productos!A:A,Productos!B:B,"Producto no encontrado")</f>
        <v>Laptop</v>
      </c>
      <c r="C11" s="11">
        <v>2</v>
      </c>
      <c r="D11" s="10">
        <f>_xlfn.XLOOKUP(A11,Productos!A:A,Productos!C:C,0)</f>
        <v>4500</v>
      </c>
      <c r="E11" s="10">
        <f>C11*D11</f>
        <v>9000</v>
      </c>
      <c r="F11" s="2"/>
      <c r="G11" s="2"/>
      <c r="H11" s="2"/>
      <c r="I11" s="2"/>
      <c r="J11" s="2"/>
      <c r="K11" s="2"/>
      <c r="N11" s="12" t="s">
        <v>15</v>
      </c>
      <c r="O11" s="11" t="str">
        <f>_xlfn.XLOOKUP(N11,Productos!N:N,Productos!O:O,"Producto no encontrado")</f>
        <v>Producto no encontrado</v>
      </c>
      <c r="P11" s="11">
        <v>1</v>
      </c>
      <c r="Q11" s="10">
        <f>_xlfn.XLOOKUP(N11,Productos!N:N,Productos!P:P,0)</f>
        <v>0</v>
      </c>
      <c r="R11" s="10">
        <f t="shared" ref="R11:R14" si="0">P11*Q11</f>
        <v>0</v>
      </c>
    </row>
    <row r="12" spans="1:18" ht="15.6" x14ac:dyDescent="0.3">
      <c r="A12" s="12" t="s">
        <v>15</v>
      </c>
      <c r="B12" s="11" t="str">
        <f>_xlfn.XLOOKUP(A12,Productos!A:A,Productos!B:B,"Producto no encontrado")</f>
        <v>Mouse</v>
      </c>
      <c r="C12" s="11">
        <v>1</v>
      </c>
      <c r="D12" s="10">
        <f>_xlfn.XLOOKUP(A12,Productos!A:A,Productos!C:C,0)</f>
        <v>800</v>
      </c>
      <c r="E12" s="10">
        <f t="shared" ref="E12:E15" si="1">C12*D12</f>
        <v>800</v>
      </c>
      <c r="F12" s="2"/>
      <c r="G12" s="2"/>
      <c r="H12" s="2"/>
      <c r="I12" s="2"/>
      <c r="J12" s="2"/>
      <c r="K12" s="2"/>
      <c r="N12" s="12" t="s">
        <v>16</v>
      </c>
      <c r="O12" s="11" t="str">
        <f>_xlfn.XLOOKUP(N12,Productos!N:N,Productos!O:O,"Producto no encontrado")</f>
        <v>Producto no encontrado</v>
      </c>
      <c r="P12" s="11">
        <v>3</v>
      </c>
      <c r="Q12" s="10">
        <f>_xlfn.XLOOKUP(N12,Productos!N:N,Productos!P:P,0)</f>
        <v>0</v>
      </c>
      <c r="R12" s="10">
        <f t="shared" si="0"/>
        <v>0</v>
      </c>
    </row>
    <row r="13" spans="1:18" ht="15.6" x14ac:dyDescent="0.3">
      <c r="A13" s="12" t="s">
        <v>16</v>
      </c>
      <c r="B13" s="11" t="str">
        <f>_xlfn.XLOOKUP(A13,Productos!A:A,Productos!B:B,"Producto no encontrado")</f>
        <v>Teclado</v>
      </c>
      <c r="C13" s="11">
        <v>3</v>
      </c>
      <c r="D13" s="10">
        <f>_xlfn.XLOOKUP(A13,Productos!A:A,Productos!C:C,0)</f>
        <v>1500</v>
      </c>
      <c r="E13" s="10">
        <f t="shared" si="1"/>
        <v>4500</v>
      </c>
      <c r="F13" s="2"/>
      <c r="G13" s="2"/>
      <c r="H13" s="2"/>
      <c r="I13" s="2"/>
      <c r="J13" s="2"/>
      <c r="K13" s="2"/>
      <c r="N13" s="12" t="s">
        <v>17</v>
      </c>
      <c r="O13" s="11" t="str">
        <f>_xlfn.XLOOKUP(N13,Productos!N:N,Productos!O:O,"Producto no encontrado")</f>
        <v>Producto no encontrado</v>
      </c>
      <c r="P13" s="11">
        <v>1</v>
      </c>
      <c r="Q13" s="10">
        <f>_xlfn.XLOOKUP(N13,Productos!N:N,Productos!P:P,0)</f>
        <v>0</v>
      </c>
      <c r="R13" s="10">
        <f t="shared" si="0"/>
        <v>0</v>
      </c>
    </row>
    <row r="14" spans="1:18" ht="15.6" x14ac:dyDescent="0.3">
      <c r="A14" s="12" t="s">
        <v>17</v>
      </c>
      <c r="B14" s="11" t="str">
        <f>_xlfn.XLOOKUP(A14,Productos!A:A,Productos!B:B,"Producto no encontrado")</f>
        <v>Silla</v>
      </c>
      <c r="C14" s="11">
        <v>1</v>
      </c>
      <c r="D14" s="10">
        <f>_xlfn.XLOOKUP(A14,Productos!A:A,Productos!C:C,0)</f>
        <v>3500</v>
      </c>
      <c r="E14" s="10">
        <f t="shared" si="1"/>
        <v>3500</v>
      </c>
      <c r="F14" s="2"/>
      <c r="G14" s="2"/>
      <c r="H14" s="2"/>
      <c r="I14" s="2"/>
      <c r="J14" s="2"/>
      <c r="K14" s="2"/>
      <c r="N14" s="12" t="s">
        <v>18</v>
      </c>
      <c r="O14" s="11" t="str">
        <f>_xlfn.XLOOKUP(N14,Productos!N:N,Productos!O:O,"Producto no encontrado")</f>
        <v>Producto no encontrado</v>
      </c>
      <c r="P14" s="11">
        <v>2</v>
      </c>
      <c r="Q14" s="10">
        <f>_xlfn.XLOOKUP(N14,Productos!N:N,Productos!P:P,0)</f>
        <v>0</v>
      </c>
      <c r="R14" s="10">
        <f t="shared" si="0"/>
        <v>0</v>
      </c>
    </row>
    <row r="15" spans="1:18" ht="15.6" x14ac:dyDescent="0.3">
      <c r="A15" s="12" t="s">
        <v>18</v>
      </c>
      <c r="B15" s="11" t="str">
        <f>_xlfn.XLOOKUP(A15,Productos!A:A,Productos!B:B,"Producto no encontrado")</f>
        <v>Escritorio</v>
      </c>
      <c r="C15" s="11">
        <v>2</v>
      </c>
      <c r="D15" s="10">
        <f>_xlfn.XLOOKUP(A15,Productos!A:A,Productos!C:C,0)</f>
        <v>8000</v>
      </c>
      <c r="E15" s="10">
        <f t="shared" si="1"/>
        <v>16000</v>
      </c>
      <c r="F15" s="2"/>
      <c r="G15" s="2"/>
      <c r="H15" s="2"/>
      <c r="I15" s="2"/>
      <c r="J15" s="2"/>
      <c r="K15" s="2"/>
      <c r="N15" s="2"/>
      <c r="O15" s="2"/>
      <c r="P15" s="2"/>
      <c r="Q15" s="2"/>
      <c r="R15" s="2"/>
    </row>
    <row r="16" spans="1:18" ht="15.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N16" s="2"/>
      <c r="O16" s="2"/>
      <c r="P16" s="2"/>
      <c r="Q16" s="12" t="s">
        <v>63</v>
      </c>
      <c r="R16" s="10">
        <f>SUM(R10:R14)</f>
        <v>0</v>
      </c>
    </row>
    <row r="17" spans="1:11" ht="15.6" x14ac:dyDescent="0.3">
      <c r="A17" s="2"/>
      <c r="B17" s="2"/>
      <c r="C17" s="2"/>
      <c r="D17" s="12" t="s">
        <v>63</v>
      </c>
      <c r="E17" s="10">
        <f>SUM(E11:E15)</f>
        <v>33800</v>
      </c>
      <c r="F17" s="2"/>
      <c r="G17" s="2"/>
      <c r="H17" s="2"/>
      <c r="I17" s="2"/>
      <c r="J17" s="2"/>
      <c r="K17" s="2"/>
    </row>
    <row r="18" spans="1:1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3">
      <c r="A20" s="2"/>
      <c r="B20" s="2" t="str">
        <f>_xlfn.XLOOKUP(A2,Clientes!A:A,Clientes!B:B,"Cliente no encontrado")</f>
        <v>Cliente no encontrado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</sheetData>
  <mergeCells count="1">
    <mergeCell ref="A1:B1"/>
  </mergeCells>
  <phoneticPr fontId="5" type="noConversion"/>
  <conditionalFormatting sqref="N1:R8 N17:R1048576">
    <cfRule type="expression" dxfId="45" priority="9">
      <formula>"MOD(ROW();2=0"</formula>
    </cfRule>
  </conditionalFormatting>
  <conditionalFormatting sqref="N17:R17">
    <cfRule type="expression" dxfId="40" priority="7">
      <formula>"MOD(ROW();2=0"</formula>
    </cfRule>
    <cfRule type="expression" dxfId="39" priority="6">
      <formula>"MOD(ROW();2)=0"</formula>
    </cfRule>
  </conditionalFormatting>
  <conditionalFormatting sqref="N9:R16">
    <cfRule type="expression" dxfId="0" priority="1">
      <formula>MOD(ROW(),2)=0</formula>
    </cfRule>
  </conditionalFormatting>
  <pageMargins left="0.7" right="0.7" top="0.75" bottom="0.75" header="0.3" footer="0.3"/>
  <pageSetup orientation="portrait" r:id="rId1"/>
  <ignoredErrors>
    <ignoredError sqref="B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4628-A2BC-433A-928C-0F79B9159E60}">
  <sheetPr>
    <tabColor theme="3"/>
  </sheetPr>
  <dimension ref="A1:K25"/>
  <sheetViews>
    <sheetView workbookViewId="0">
      <selection activeCell="F13" sqref="F13"/>
    </sheetView>
  </sheetViews>
  <sheetFormatPr defaultRowHeight="14.4" x14ac:dyDescent="0.3"/>
  <cols>
    <col min="1" max="1" width="5.21875" bestFit="1" customWidth="1"/>
    <col min="2" max="2" width="11.6640625" bestFit="1" customWidth="1"/>
    <col min="3" max="3" width="11" bestFit="1" customWidth="1"/>
    <col min="4" max="4" width="15.21875" customWidth="1"/>
    <col min="5" max="5" width="13.88671875" bestFit="1" customWidth="1"/>
  </cols>
  <sheetData>
    <row r="1" spans="1:11" ht="15.6" x14ac:dyDescent="0.3">
      <c r="A1" s="21" t="s">
        <v>71</v>
      </c>
      <c r="B1" s="21"/>
      <c r="C1" s="21"/>
      <c r="D1" s="21"/>
    </row>
    <row r="3" spans="1:1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">
      <c r="A4" s="2" t="s">
        <v>6</v>
      </c>
      <c r="B4" s="1" t="s">
        <v>30</v>
      </c>
      <c r="C4" s="2" t="s">
        <v>64</v>
      </c>
      <c r="D4" s="2" t="s">
        <v>0</v>
      </c>
      <c r="E4" s="2" t="s">
        <v>65</v>
      </c>
      <c r="F4" s="2"/>
      <c r="G4" s="2"/>
      <c r="H4" s="2"/>
      <c r="I4" s="2"/>
      <c r="J4" s="2"/>
      <c r="K4" s="2"/>
    </row>
    <row r="5" spans="1:11" x14ac:dyDescent="0.3">
      <c r="A5" s="2" t="s">
        <v>66</v>
      </c>
      <c r="B5" s="2" t="s">
        <v>72</v>
      </c>
      <c r="C5" s="2" t="s">
        <v>74</v>
      </c>
      <c r="D5" s="2" t="s">
        <v>2</v>
      </c>
      <c r="E5" s="2">
        <v>45000</v>
      </c>
      <c r="F5" s="2"/>
      <c r="G5" s="2"/>
      <c r="H5" s="2"/>
      <c r="I5" s="2"/>
      <c r="J5" s="2"/>
      <c r="K5" s="2"/>
    </row>
    <row r="6" spans="1:11" x14ac:dyDescent="0.3">
      <c r="A6" s="2" t="s">
        <v>67</v>
      </c>
      <c r="B6" s="2" t="s">
        <v>38</v>
      </c>
      <c r="C6" s="2" t="s">
        <v>75</v>
      </c>
      <c r="D6" s="2" t="s">
        <v>4</v>
      </c>
      <c r="E6" s="2">
        <v>55000</v>
      </c>
      <c r="F6" s="2"/>
      <c r="G6" s="2"/>
      <c r="H6" s="2"/>
      <c r="I6" s="2"/>
      <c r="J6" s="2"/>
      <c r="K6" s="2"/>
    </row>
    <row r="7" spans="1:11" x14ac:dyDescent="0.3">
      <c r="A7" s="2" t="s">
        <v>68</v>
      </c>
      <c r="B7" s="2" t="s">
        <v>39</v>
      </c>
      <c r="C7" s="2" t="s">
        <v>76</v>
      </c>
      <c r="D7" s="2" t="s">
        <v>3</v>
      </c>
      <c r="E7" s="2">
        <v>65000</v>
      </c>
      <c r="F7" s="2"/>
      <c r="G7" s="2"/>
      <c r="H7" s="2"/>
      <c r="I7" s="2"/>
      <c r="J7" s="2"/>
      <c r="K7" s="2"/>
    </row>
    <row r="8" spans="1:11" x14ac:dyDescent="0.3">
      <c r="A8" s="2" t="s">
        <v>69</v>
      </c>
      <c r="B8" s="2" t="s">
        <v>40</v>
      </c>
      <c r="C8" s="2" t="s">
        <v>74</v>
      </c>
      <c r="D8" s="2" t="s">
        <v>77</v>
      </c>
      <c r="E8" s="2">
        <v>50000</v>
      </c>
      <c r="F8" s="2"/>
      <c r="G8" s="2"/>
      <c r="H8" s="2"/>
      <c r="I8" s="2"/>
      <c r="J8" s="2"/>
      <c r="K8" s="2"/>
    </row>
    <row r="9" spans="1:11" x14ac:dyDescent="0.3">
      <c r="A9" s="2" t="s">
        <v>70</v>
      </c>
      <c r="B9" s="2" t="s">
        <v>73</v>
      </c>
      <c r="C9" s="2" t="s">
        <v>1</v>
      </c>
      <c r="D9" s="2" t="s">
        <v>78</v>
      </c>
      <c r="E9" s="2">
        <v>70000</v>
      </c>
      <c r="F9" s="2"/>
      <c r="G9" s="2"/>
      <c r="H9" s="2"/>
      <c r="I9" s="2"/>
      <c r="J9" s="2"/>
      <c r="K9" s="2"/>
    </row>
    <row r="10" spans="1:1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</sheetData>
  <mergeCells count="1">
    <mergeCell ref="A1:D1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71DD-29C2-410F-B564-52FBE382E377}">
  <sheetPr>
    <tabColor theme="6"/>
  </sheetPr>
  <dimension ref="A1:F14"/>
  <sheetViews>
    <sheetView workbookViewId="0">
      <selection activeCell="C11" sqref="C11"/>
    </sheetView>
  </sheetViews>
  <sheetFormatPr defaultRowHeight="14.4" x14ac:dyDescent="0.3"/>
  <cols>
    <col min="1" max="1" width="14.88671875" bestFit="1" customWidth="1"/>
    <col min="2" max="2" width="12.44140625" bestFit="1" customWidth="1"/>
    <col min="3" max="3" width="24.6640625" bestFit="1" customWidth="1"/>
  </cols>
  <sheetData>
    <row r="1" spans="1:6" x14ac:dyDescent="0.3">
      <c r="A1" s="2" t="s">
        <v>79</v>
      </c>
      <c r="B1" s="2" t="s">
        <v>80</v>
      </c>
      <c r="C1" s="2" t="s">
        <v>81</v>
      </c>
      <c r="D1" s="2"/>
      <c r="E1" s="2"/>
      <c r="F1" s="2"/>
    </row>
    <row r="2" spans="1:6" x14ac:dyDescent="0.3">
      <c r="A2" s="1" t="s">
        <v>82</v>
      </c>
      <c r="B2" s="13">
        <v>2.87E-2</v>
      </c>
      <c r="C2" s="2" t="s">
        <v>87</v>
      </c>
      <c r="D2" s="2"/>
      <c r="E2" s="2"/>
      <c r="F2" s="2"/>
    </row>
    <row r="3" spans="1:6" x14ac:dyDescent="0.3">
      <c r="A3" s="1" t="s">
        <v>83</v>
      </c>
      <c r="B3" s="13">
        <v>3.04E-2</v>
      </c>
      <c r="C3" s="2" t="s">
        <v>88</v>
      </c>
      <c r="D3" s="2"/>
      <c r="E3" s="2"/>
      <c r="F3" s="2"/>
    </row>
    <row r="4" spans="1:6" x14ac:dyDescent="0.3">
      <c r="A4" s="1" t="s">
        <v>84</v>
      </c>
      <c r="B4" s="14">
        <v>0.1</v>
      </c>
      <c r="C4" s="2" t="s">
        <v>89</v>
      </c>
      <c r="D4" s="2"/>
      <c r="E4" s="2"/>
      <c r="F4" s="2"/>
    </row>
    <row r="5" spans="1:6" x14ac:dyDescent="0.3">
      <c r="A5" s="1" t="s">
        <v>85</v>
      </c>
      <c r="B5" s="13">
        <v>7.0999999999999994E-2</v>
      </c>
      <c r="C5" s="2" t="s">
        <v>90</v>
      </c>
      <c r="D5" s="2"/>
      <c r="E5" s="2"/>
      <c r="F5" s="2"/>
    </row>
    <row r="6" spans="1:6" x14ac:dyDescent="0.3">
      <c r="A6" s="1" t="s">
        <v>86</v>
      </c>
      <c r="B6" s="13">
        <v>7.0900000000000005E-2</v>
      </c>
      <c r="C6" s="2" t="s">
        <v>91</v>
      </c>
      <c r="D6" s="2"/>
      <c r="E6" s="2"/>
      <c r="F6" s="2"/>
    </row>
    <row r="7" spans="1:6" x14ac:dyDescent="0.3">
      <c r="A7" s="2"/>
      <c r="B7" s="2"/>
      <c r="C7" s="2"/>
      <c r="D7" s="2"/>
      <c r="E7" s="2"/>
      <c r="F7" s="2"/>
    </row>
    <row r="8" spans="1:6" x14ac:dyDescent="0.3">
      <c r="A8" s="2"/>
      <c r="B8" s="2"/>
      <c r="C8" s="2"/>
      <c r="D8" s="2"/>
      <c r="E8" s="2"/>
      <c r="F8" s="2"/>
    </row>
    <row r="9" spans="1:6" x14ac:dyDescent="0.3">
      <c r="A9" s="2"/>
      <c r="B9" s="2"/>
      <c r="C9" s="2"/>
      <c r="D9" s="2"/>
      <c r="E9" s="2"/>
      <c r="F9" s="2"/>
    </row>
    <row r="10" spans="1:6" x14ac:dyDescent="0.3">
      <c r="A10" s="2"/>
      <c r="B10" s="2"/>
      <c r="C10" s="2"/>
      <c r="D10" s="2"/>
      <c r="E10" s="2"/>
      <c r="F10" s="2"/>
    </row>
    <row r="11" spans="1:6" x14ac:dyDescent="0.3">
      <c r="A11" s="2"/>
      <c r="B11" s="2"/>
      <c r="C11" s="2"/>
      <c r="D11" s="2"/>
      <c r="E11" s="2"/>
      <c r="F11" s="2"/>
    </row>
    <row r="12" spans="1:6" x14ac:dyDescent="0.3">
      <c r="A12" s="2"/>
      <c r="B12" s="2"/>
      <c r="C12" s="2"/>
      <c r="D12" s="2"/>
      <c r="E12" s="2"/>
      <c r="F12" s="2"/>
    </row>
    <row r="13" spans="1:6" x14ac:dyDescent="0.3">
      <c r="A13" s="2"/>
      <c r="B13" s="2"/>
      <c r="C13" s="2"/>
      <c r="D13" s="2"/>
      <c r="E13" s="2"/>
      <c r="F13" s="2"/>
    </row>
    <row r="14" spans="1:6" x14ac:dyDescent="0.3">
      <c r="A14" s="2"/>
      <c r="B14" s="2"/>
      <c r="C14" s="2"/>
      <c r="D14" s="2"/>
      <c r="E14" s="2"/>
      <c r="F14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4A6C-0552-45C5-A55A-33A0161BF57C}">
  <sheetPr>
    <tabColor rgb="FF002060"/>
  </sheetPr>
  <dimension ref="A2:I16"/>
  <sheetViews>
    <sheetView tabSelected="1" workbookViewId="0">
      <selection activeCell="J17" sqref="J17"/>
    </sheetView>
  </sheetViews>
  <sheetFormatPr defaultRowHeight="14.4" x14ac:dyDescent="0.3"/>
  <cols>
    <col min="1" max="1" width="5" bestFit="1" customWidth="1"/>
    <col min="2" max="2" width="11.6640625" bestFit="1" customWidth="1"/>
    <col min="3" max="3" width="11.21875" bestFit="1" customWidth="1"/>
    <col min="4" max="4" width="12.33203125" bestFit="1" customWidth="1"/>
    <col min="5" max="7" width="11.33203125" bestFit="1" customWidth="1"/>
    <col min="8" max="8" width="12.33203125" bestFit="1" customWidth="1"/>
  </cols>
  <sheetData>
    <row r="2" spans="1:9" x14ac:dyDescent="0.3">
      <c r="A2" s="15" t="s">
        <v>6</v>
      </c>
      <c r="B2" s="15" t="s">
        <v>30</v>
      </c>
      <c r="C2" s="15" t="s">
        <v>64</v>
      </c>
      <c r="D2" s="15" t="s">
        <v>65</v>
      </c>
      <c r="E2" s="15" t="s">
        <v>82</v>
      </c>
      <c r="F2" s="15" t="s">
        <v>83</v>
      </c>
      <c r="G2" s="15" t="s">
        <v>84</v>
      </c>
      <c r="H2" s="15" t="s">
        <v>92</v>
      </c>
    </row>
    <row r="3" spans="1:9" x14ac:dyDescent="0.3">
      <c r="A3" s="15" t="s">
        <v>66</v>
      </c>
      <c r="B3" s="16" t="str" cm="1">
        <f t="array" ref="B3">_xlfn.XLOOKUP(A3,Empleados!A:A,Empleados!B:B, Empleados no encontrado)</f>
        <v>Juan Perez</v>
      </c>
      <c r="C3" s="16" t="str">
        <f>_xlfn.XLOOKUP(A3,Empleados!A:A,Empleados!C:C,"Cargo No encontrado")</f>
        <v>Analista</v>
      </c>
      <c r="D3" s="17">
        <f>_xlfn.XLOOKUP(A3,Empleados!A:A,Empleados!E:E, "No encontrado")</f>
        <v>45000</v>
      </c>
      <c r="E3" s="17">
        <f>D3*_xlfn.XLOOKUP("AFP",Deducciones!A:A,Deducciones!B:B,0)</f>
        <v>1291.5</v>
      </c>
      <c r="F3" s="18">
        <f>D3*_xlfn.XLOOKUP("SFS",Deducciones!A:A,Deducciones!B:B,0)</f>
        <v>1368</v>
      </c>
      <c r="G3" s="17">
        <f>D3*_xlfn.XLOOKUP("ISR",Deducciones!A:A,Deducciones!B:B,0)</f>
        <v>4500</v>
      </c>
      <c r="H3" s="17">
        <f>D3-E3-F3-G3</f>
        <v>37840.5</v>
      </c>
    </row>
    <row r="4" spans="1:9" x14ac:dyDescent="0.3">
      <c r="A4" s="15" t="s">
        <v>67</v>
      </c>
      <c r="B4" s="16" t="str" cm="1">
        <f t="array" ref="B4">_xlfn.XLOOKUP(A4,Empleados!A:A,Empleados!B:B, Empleados no encontrado)</f>
        <v>Maria Lopez</v>
      </c>
      <c r="C4" s="16" t="str">
        <f>_xlfn.XLOOKUP(A4,Empleados!A:A,Empleados!C:C,"Cargo No encontrado")</f>
        <v>Tecnico</v>
      </c>
      <c r="D4" s="17">
        <f>_xlfn.XLOOKUP(A4,Empleados!A:A,Empleados!E:E, "No encontrado")</f>
        <v>55000</v>
      </c>
      <c r="E4" s="17">
        <f>D4*_xlfn.XLOOKUP("AFP",Deducciones!A:A,Deducciones!B:B,0)</f>
        <v>1578.5</v>
      </c>
      <c r="F4" s="18">
        <f>D4*_xlfn.XLOOKUP("SFS",Deducciones!A:A,Deducciones!B:B,0)</f>
        <v>1672</v>
      </c>
      <c r="G4" s="17">
        <f>D4*_xlfn.XLOOKUP("ISR",Deducciones!A:A,Deducciones!B:B,0)</f>
        <v>5500</v>
      </c>
      <c r="H4" s="17">
        <f t="shared" ref="H4:H7" si="0">D4-E4-F4-G4</f>
        <v>46249.5</v>
      </c>
    </row>
    <row r="5" spans="1:9" x14ac:dyDescent="0.3">
      <c r="A5" s="15" t="s">
        <v>68</v>
      </c>
      <c r="B5" s="16" t="str" cm="1">
        <f t="array" ref="B5">_xlfn.XLOOKUP(A5,Empleados!A:A,Empleados!B:B, Empleados no encontrado)</f>
        <v>Carlos Ruiz</v>
      </c>
      <c r="C5" s="16" t="str">
        <f>_xlfn.XLOOKUP(A5,Empleados!A:A,Empleados!C:C,"Cargo No encontrado")</f>
        <v>Coordinador</v>
      </c>
      <c r="D5" s="17">
        <f>_xlfn.XLOOKUP(A5,Empleados!A:A,Empleados!E:E, "No encontrado")</f>
        <v>65000</v>
      </c>
      <c r="E5" s="17">
        <f>D5*_xlfn.XLOOKUP("AFP",Deducciones!A:A,Deducciones!B:B,0)</f>
        <v>1865.5</v>
      </c>
      <c r="F5" s="18">
        <f>D5*_xlfn.XLOOKUP("SFS",Deducciones!A:A,Deducciones!B:B,0)</f>
        <v>1976</v>
      </c>
      <c r="G5" s="17">
        <f>D5*_xlfn.XLOOKUP("ISR",Deducciones!A:A,Deducciones!B:B,0)</f>
        <v>6500</v>
      </c>
      <c r="H5" s="17">
        <f t="shared" si="0"/>
        <v>54658.5</v>
      </c>
    </row>
    <row r="6" spans="1:9" x14ac:dyDescent="0.3">
      <c r="A6" s="15" t="s">
        <v>69</v>
      </c>
      <c r="B6" s="16" t="str" cm="1">
        <f t="array" ref="B6">_xlfn.XLOOKUP(A6,Empleados!A:A,Empleados!B:B, Empleados no encontrado)</f>
        <v>Ana Garcia</v>
      </c>
      <c r="C6" s="16" t="str">
        <f>_xlfn.XLOOKUP(A6,Empleados!A:A,Empleados!C:C,"Cargo No encontrado")</f>
        <v>Analista</v>
      </c>
      <c r="D6" s="17">
        <f>_xlfn.XLOOKUP(A6,Empleados!A:A,Empleados!E:E, "No encontrado")</f>
        <v>50000</v>
      </c>
      <c r="E6" s="17">
        <f>D6*_xlfn.XLOOKUP("AFP",Deducciones!A:A,Deducciones!B:B,0)</f>
        <v>1435</v>
      </c>
      <c r="F6" s="18">
        <f>D6*_xlfn.XLOOKUP("SFS",Deducciones!A:A,Deducciones!B:B,0)</f>
        <v>1520</v>
      </c>
      <c r="G6" s="17">
        <f>D6*_xlfn.XLOOKUP("ISR",Deducciones!A:A,Deducciones!B:B,0)</f>
        <v>5000</v>
      </c>
      <c r="H6" s="17">
        <f t="shared" si="0"/>
        <v>42045</v>
      </c>
    </row>
    <row r="7" spans="1:9" x14ac:dyDescent="0.3">
      <c r="A7" s="15" t="s">
        <v>70</v>
      </c>
      <c r="B7" s="16" t="str" cm="1">
        <f t="array" ref="B7">_xlfn.XLOOKUP(A7,Empleados!A:A,Empleados!B:B, Empleados no encontrado)</f>
        <v>Pedro Santos</v>
      </c>
      <c r="C7" s="16" t="str">
        <f>_xlfn.XLOOKUP(A7,Empleados!A:A,Empleados!C:C,"Cargo No encontrado")</f>
        <v>Supervisor</v>
      </c>
      <c r="D7" s="17">
        <f>_xlfn.XLOOKUP(A7,Empleados!A:A,Empleados!E:E, "No encontrado")</f>
        <v>70000</v>
      </c>
      <c r="E7" s="17">
        <f>D7*_xlfn.XLOOKUP("AFP",Deducciones!A:A,Deducciones!B:B,0)</f>
        <v>2009</v>
      </c>
      <c r="F7" s="18">
        <f>D7*_xlfn.XLOOKUP("SFS",Deducciones!A:A,Deducciones!B:B,0)</f>
        <v>2128</v>
      </c>
      <c r="G7" s="17">
        <f>D7*_xlfn.XLOOKUP("ISR",Deducciones!A:A,Deducciones!B:B,0)</f>
        <v>7000</v>
      </c>
      <c r="H7" s="17">
        <f t="shared" si="0"/>
        <v>58863</v>
      </c>
    </row>
    <row r="12" spans="1:9" x14ac:dyDescent="0.3">
      <c r="I12" s="22"/>
    </row>
    <row r="13" spans="1:9" x14ac:dyDescent="0.3">
      <c r="I13" s="22">
        <f>D5*_xlfn.XLOOKUP("SFS",Deducciones!A:A,Deducciones!B:B,0)</f>
        <v>1976</v>
      </c>
    </row>
    <row r="14" spans="1:9" x14ac:dyDescent="0.3">
      <c r="I14" s="22">
        <f>D6*_xlfn.XLOOKUP("SFS",Deducciones!A:A,Deducciones!B:B,0)</f>
        <v>1520</v>
      </c>
    </row>
    <row r="15" spans="1:9" x14ac:dyDescent="0.3">
      <c r="I15" s="22">
        <f>D7*_xlfn.XLOOKUP("SFS",Deducciones!A:A,Deducciones!B:B,0)</f>
        <v>2128</v>
      </c>
    </row>
    <row r="16" spans="1:9" x14ac:dyDescent="0.3">
      <c r="I16" s="22">
        <f>D8*_xlfn.XLOOKUP("SFS",Deducciones!A:A,Deducciones!B:B,0)</f>
        <v>0</v>
      </c>
    </row>
  </sheetData>
  <phoneticPr fontId="5" type="noConversion"/>
  <conditionalFormatting sqref="A3:H7">
    <cfRule type="expression" dxfId="53" priority="1">
      <formula>MOD(ROW(),2)=0</formula>
    </cfRule>
  </conditionalFormatting>
  <conditionalFormatting sqref="A3:XFD3">
    <cfRule type="expression" dxfId="52" priority="2">
      <formula>MOD(ROW(),2)=0</formula>
    </cfRule>
    <cfRule type="expression" priority="3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Productos</vt:lpstr>
      <vt:lpstr>Clientes</vt:lpstr>
      <vt:lpstr>Factura</vt:lpstr>
      <vt:lpstr>Empleados</vt:lpstr>
      <vt:lpstr>Deducciones</vt:lpstr>
      <vt:lpstr>Nomina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Villar</dc:creator>
  <cp:lastModifiedBy>Edwin Villar</cp:lastModifiedBy>
  <dcterms:created xsi:type="dcterms:W3CDTF">2026-06-17T22:18:00Z</dcterms:created>
  <dcterms:modified xsi:type="dcterms:W3CDTF">2026-06-19T02:38:47Z</dcterms:modified>
</cp:coreProperties>
</file>