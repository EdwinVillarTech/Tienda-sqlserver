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6AC6F04D-960B-4F2D-BAFE-E9724FC5F368}" xr6:coauthVersionLast="47" xr6:coauthVersionMax="47" xr10:uidLastSave="{00000000-0000-0000-0000-000000000000}"/>
  <bookViews>
    <workbookView xWindow="120" yWindow="48" windowWidth="11508" windowHeight="12240" firstSheet="3" activeTab="3" xr2:uid="{A5EDE06E-7574-4FAF-8151-D165ADA9B625}"/>
  </bookViews>
  <sheets>
    <sheet name="Filtros Avanzado " sheetId="1" r:id="rId1"/>
    <sheet name="Dashboard RRHH_x0009_" sheetId="2" r:id="rId2"/>
    <sheet name="Filtros Avanzado 2 " sheetId="3" r:id="rId3"/>
    <sheet name="Dashboard Ventas" sheetId="4" r:id="rId4"/>
  </sheets>
  <definedNames>
    <definedName name="_xlnm._FilterDatabase" localSheetId="0" hidden="1">'Filtros Avanzado '!$A$7:$G$22</definedName>
    <definedName name="_xlnm._FilterDatabase" localSheetId="2" hidden="1">'Filtros Avanzado 2 '!$A$4:$H$20</definedName>
    <definedName name="_xlnm.Criteria" localSheetId="2">'Filtros Avanzado 2 '!$A$17:$B$17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" l="1"/>
  <c r="C31" i="3"/>
  <c r="C29" i="3"/>
  <c r="C27" i="3"/>
  <c r="E20" i="3"/>
  <c r="E19" i="3"/>
  <c r="E18" i="3"/>
  <c r="D19" i="3"/>
  <c r="D20" i="3"/>
  <c r="D18" i="3"/>
  <c r="C19" i="3"/>
  <c r="C20" i="3"/>
  <c r="C18" i="3"/>
  <c r="B18" i="3"/>
  <c r="B20" i="3"/>
  <c r="B19" i="3"/>
  <c r="C28" i="3" s="1"/>
  <c r="C31" i="1"/>
  <c r="C32" i="1"/>
  <c r="C33" i="1"/>
  <c r="C30" i="1"/>
  <c r="B31" i="1"/>
  <c r="B32" i="1"/>
  <c r="B33" i="1"/>
  <c r="B30" i="1"/>
  <c r="E31" i="1"/>
  <c r="E32" i="1"/>
  <c r="E33" i="1"/>
  <c r="E30" i="1"/>
  <c r="D31" i="1"/>
  <c r="D32" i="1"/>
  <c r="D33" i="1"/>
  <c r="D30" i="1"/>
</calcChain>
</file>

<file path=xl/sharedStrings.xml><?xml version="1.0" encoding="utf-8"?>
<sst xmlns="http://schemas.openxmlformats.org/spreadsheetml/2006/main" count="165" uniqueCount="90">
  <si>
    <t>Sistema-RRHH-2026</t>
  </si>
  <si>
    <t>Base de Datos de Recursos Humanos - 2026</t>
  </si>
  <si>
    <t>A</t>
  </si>
  <si>
    <t>B</t>
  </si>
  <si>
    <t>C</t>
  </si>
  <si>
    <t>D</t>
  </si>
  <si>
    <t>E</t>
  </si>
  <si>
    <t>F</t>
  </si>
  <si>
    <t>G</t>
  </si>
  <si>
    <t>ID</t>
  </si>
  <si>
    <t>Empleado</t>
  </si>
  <si>
    <t>Departamento</t>
  </si>
  <si>
    <t>Cargo</t>
  </si>
  <si>
    <t>Salario</t>
  </si>
  <si>
    <t>Años Experiencia</t>
  </si>
  <si>
    <t>Estado</t>
  </si>
  <si>
    <t>Lucia Perez</t>
  </si>
  <si>
    <t>Miguel Torres</t>
  </si>
  <si>
    <t>Gabriela Reyes</t>
  </si>
  <si>
    <t>Fernando Castro</t>
  </si>
  <si>
    <t>Valentina Ruiz</t>
  </si>
  <si>
    <t xml:space="preserve">Diego Morales </t>
  </si>
  <si>
    <t xml:space="preserve">Camila Vargas </t>
  </si>
  <si>
    <t>Andres Mendoza</t>
  </si>
  <si>
    <t>Natalia Flores</t>
  </si>
  <si>
    <t>Carlos Jimenez</t>
  </si>
  <si>
    <t>Sofia Herrera</t>
  </si>
  <si>
    <t>Ricardo Guzman</t>
  </si>
  <si>
    <t>Daniela Cruz</t>
  </si>
  <si>
    <t>Pablo Ramirez</t>
  </si>
  <si>
    <t>Ventas</t>
  </si>
  <si>
    <t>Marketing</t>
  </si>
  <si>
    <t>Contabilidad</t>
  </si>
  <si>
    <t>Desarrollador</t>
  </si>
  <si>
    <t>Vendedor</t>
  </si>
  <si>
    <t>Diseñador</t>
  </si>
  <si>
    <t>Analista</t>
  </si>
  <si>
    <t>Contador</t>
  </si>
  <si>
    <t>Community Manager</t>
  </si>
  <si>
    <t>Auditor</t>
  </si>
  <si>
    <t>Supervisor</t>
  </si>
  <si>
    <t>Inactivo</t>
  </si>
  <si>
    <t>Activo</t>
  </si>
  <si>
    <t>Análisis de Salarios por Departamento - 2026</t>
  </si>
  <si>
    <t>Total Salarios</t>
  </si>
  <si>
    <t>Promedio</t>
  </si>
  <si>
    <t>Salario Mas Bajo</t>
  </si>
  <si>
    <t>Salario Mas Alto</t>
  </si>
  <si>
    <t>Informatico</t>
  </si>
  <si>
    <t>Base de Datos de Ventas 2026</t>
  </si>
  <si>
    <t xml:space="preserve">ID </t>
  </si>
  <si>
    <t>Fecha</t>
  </si>
  <si>
    <t xml:space="preserve">Vendedor </t>
  </si>
  <si>
    <t>Ciudad</t>
  </si>
  <si>
    <t>Producto</t>
  </si>
  <si>
    <t>Categoria</t>
  </si>
  <si>
    <t>Cantidad</t>
  </si>
  <si>
    <t>Precio</t>
  </si>
  <si>
    <t>Ana</t>
  </si>
  <si>
    <t>Luis</t>
  </si>
  <si>
    <t>Pedro</t>
  </si>
  <si>
    <t>Santo Domingo</t>
  </si>
  <si>
    <t>Santiago</t>
  </si>
  <si>
    <t>La vega</t>
  </si>
  <si>
    <t>Bonao</t>
  </si>
  <si>
    <t>Laptop</t>
  </si>
  <si>
    <t>Mouse</t>
  </si>
  <si>
    <t>Escritorio</t>
  </si>
  <si>
    <t>Silla</t>
  </si>
  <si>
    <t>Monitor</t>
  </si>
  <si>
    <t>Impresora</t>
  </si>
  <si>
    <t>Tecnologia</t>
  </si>
  <si>
    <t>Muebles</t>
  </si>
  <si>
    <t>Total Ventas</t>
  </si>
  <si>
    <t>Promedio Venta</t>
  </si>
  <si>
    <t xml:space="preserve">Venta Mayor </t>
  </si>
  <si>
    <t xml:space="preserve">Venta Menor </t>
  </si>
  <si>
    <t>Inddicador</t>
  </si>
  <si>
    <t>Valor</t>
  </si>
  <si>
    <t>Descripcion</t>
  </si>
  <si>
    <t xml:space="preserve">Mejor Vendedor </t>
  </si>
  <si>
    <t>Unidades Vendidas</t>
  </si>
  <si>
    <t>Venta Promedio</t>
  </si>
  <si>
    <t>Suma Total de todas las ventas</t>
  </si>
  <si>
    <t>Vendedor con mas ventas</t>
  </si>
  <si>
    <t>Total de productos vendidos</t>
  </si>
  <si>
    <t>Promedio por transaccion</t>
  </si>
  <si>
    <t xml:space="preserve">Producto mas vendido </t>
  </si>
  <si>
    <r>
      <t xml:space="preserve">  </t>
    </r>
    <r>
      <rPr>
        <b/>
        <sz val="18"/>
        <color theme="1"/>
        <rFont val="Calibri"/>
        <family val="2"/>
        <scheme val="minor"/>
      </rPr>
      <t>KPI</t>
    </r>
  </si>
  <si>
    <t xml:space="preserve">Producto Mas Vendido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</si>
</sst>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yy;@"/>
    <numFmt numFmtId="166" formatCode="_-[$$-2C0A]\ * #,##0_-;\-[$$-2C0A]\ * #,##0_-;_-[$$-2C0A]\ * &quot;-&quot;??_-;_-@_-"/>
    <numFmt numFmtId="171" formatCode="_-[$$-2C0A]\ * #,##0.0_-;\-[$$-2C0A]\ * #,##0.0_-;_-[$$-2C0A]\ * &quot;-&quot;?_-;_-@_-"/>
    <numFmt numFmtId="172" formatCode="_-[$$-2C0A]\ * #,##0.00_-;\-[$$-2C0A]\ * #,##0.00_-;_-[$$-2C0A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43" fontId="0" fillId="0" borderId="0" xfId="1" applyFont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right" vertical="center"/>
    </xf>
    <xf numFmtId="43" fontId="0" fillId="0" borderId="1" xfId="1" applyFont="1" applyBorder="1"/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7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0" fillId="0" borderId="1" xfId="1" applyNumberFormat="1" applyFont="1" applyBorder="1" applyAlignment="1"/>
    <xf numFmtId="166" fontId="0" fillId="0" borderId="1" xfId="1" applyNumberFormat="1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171" fontId="0" fillId="0" borderId="0" xfId="0" applyNumberFormat="1"/>
    <xf numFmtId="0" fontId="8" fillId="5" borderId="1" xfId="0" applyFont="1" applyFill="1" applyBorder="1"/>
    <xf numFmtId="0" fontId="3" fillId="4" borderId="1" xfId="0" applyFont="1" applyFill="1" applyBorder="1" applyAlignment="1">
      <alignment vertical="top"/>
    </xf>
    <xf numFmtId="43" fontId="3" fillId="4" borderId="1" xfId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vertical="top"/>
    </xf>
    <xf numFmtId="0" fontId="8" fillId="4" borderId="1" xfId="0" applyFont="1" applyFill="1" applyBorder="1"/>
    <xf numFmtId="172" fontId="0" fillId="0" borderId="1" xfId="1" applyNumberFormat="1" applyFon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49E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Salarios por Departamento - </a:t>
            </a:r>
          </a:p>
          <a:p>
            <a:pPr>
              <a:defRPr/>
            </a:pP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'!$B$28:$B$29</c:f>
              <c:strCache>
                <c:ptCount val="2"/>
                <c:pt idx="0">
                  <c:v>B</c:v>
                </c:pt>
                <c:pt idx="1">
                  <c:v>Total Salarios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'!$B$30:$B$33</c:f>
              <c:numCache>
                <c:formatCode>General</c:formatCode>
                <c:ptCount val="4"/>
                <c:pt idx="0">
                  <c:v>131000</c:v>
                </c:pt>
                <c:pt idx="1">
                  <c:v>115000</c:v>
                </c:pt>
                <c:pt idx="2">
                  <c:v>320000</c:v>
                </c:pt>
                <c:pt idx="3">
                  <c:v>129000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B-48D2-8256-ED18C5C0A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1737983"/>
        <c:axId val="1391735103"/>
      </c:barChart>
      <c:catAx>
        <c:axId val="139173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5103"/>
        <c:crosses val="autoZero"/>
        <c:auto val="1"/>
        <c:lblAlgn val="ctr"/>
        <c:lblOffset val="100"/>
        <c:noMultiLvlLbl val="0"/>
      </c:catAx>
      <c:valAx>
        <c:axId val="13917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 Salarios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'Filtros Avanzado '!$C$28:$C$29</c:f>
              <c:strCache>
                <c:ptCount val="2"/>
                <c:pt idx="0">
                  <c:v>C</c:v>
                </c:pt>
                <c:pt idx="1">
                  <c:v>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'!$C$30:$C$33</c:f>
              <c:numCache>
                <c:formatCode>General</c:formatCode>
                <c:ptCount val="4"/>
                <c:pt idx="0">
                  <c:v>32750</c:v>
                </c:pt>
                <c:pt idx="1">
                  <c:v>38333.333333333336</c:v>
                </c:pt>
                <c:pt idx="2">
                  <c:v>64000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4-449A-9322-67E05460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765343"/>
        <c:axId val="1391749023"/>
      </c:barChart>
      <c:catAx>
        <c:axId val="139176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49023"/>
        <c:crosses val="autoZero"/>
        <c:auto val="1"/>
        <c:lblAlgn val="ctr"/>
        <c:lblOffset val="100"/>
        <c:noMultiLvlLbl val="0"/>
      </c:catAx>
      <c:valAx>
        <c:axId val="13917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Más Alto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'Filtros Avanzado '!$D$28:$D$29</c:f>
              <c:strCache>
                <c:ptCount val="2"/>
                <c:pt idx="0">
                  <c:v>D</c:v>
                </c:pt>
                <c:pt idx="1">
                  <c:v>Salario Mas Alto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EA-4234-809D-3F73E1A3C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EA-4234-809D-3F73E1A3C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EA-4234-809D-3F73E1A3CF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EA-4234-809D-3F73E1A3CF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'!$D$30:$D$33</c:f>
              <c:numCache>
                <c:formatCode>General</c:formatCode>
                <c:ptCount val="4"/>
                <c:pt idx="0">
                  <c:v>38000</c:v>
                </c:pt>
                <c:pt idx="1">
                  <c:v>48000</c:v>
                </c:pt>
                <c:pt idx="2">
                  <c:v>72000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A-4234-809D-3F73E1A3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Más Bajo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'!$E$28:$E$29</c:f>
              <c:strCache>
                <c:ptCount val="2"/>
                <c:pt idx="0">
                  <c:v>E</c:v>
                </c:pt>
                <c:pt idx="1">
                  <c:v>Salario Mas 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'!$E$30:$E$33</c:f>
              <c:numCache>
                <c:formatCode>General</c:formatCode>
                <c:ptCount val="4"/>
                <c:pt idx="0">
                  <c:v>29000</c:v>
                </c:pt>
                <c:pt idx="1">
                  <c:v>32000</c:v>
                </c:pt>
                <c:pt idx="2">
                  <c:v>58000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2-4483-A86E-024C6772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731743"/>
        <c:axId val="1391715423"/>
      </c:barChart>
      <c:catAx>
        <c:axId val="139173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15423"/>
        <c:crosses val="autoZero"/>
        <c:auto val="1"/>
        <c:lblAlgn val="ctr"/>
        <c:lblOffset val="100"/>
        <c:noMultiLvlLbl val="0"/>
      </c:catAx>
      <c:valAx>
        <c:axId val="139171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Totales</a:t>
            </a:r>
            <a:r>
              <a:rPr lang="en-US" baseline="0"/>
              <a:t> Por Vendedor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2 '!$B$17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'Filtros Avanzado 2 '!$A$18:$A$20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'!$B$18:$B$20</c:f>
              <c:numCache>
                <c:formatCode>_-[$$-2C0A]\ * #,##0_-;\-[$$-2C0A]\ * #,##0_-;_-[$$-2C0A]\ * "-"??_-;_-@_-</c:formatCode>
                <c:ptCount val="3"/>
                <c:pt idx="0">
                  <c:v>102000</c:v>
                </c:pt>
                <c:pt idx="1">
                  <c:v>13800</c:v>
                </c:pt>
                <c:pt idx="2">
                  <c:v>47400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A-4569-B099-728B3977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445088"/>
        <c:axId val="1771445568"/>
      </c:barChart>
      <c:catAx>
        <c:axId val="177144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568"/>
        <c:crosses val="autoZero"/>
        <c:auto val="1"/>
        <c:lblAlgn val="ctr"/>
        <c:lblOffset val="100"/>
        <c:noMultiLvlLbl val="0"/>
      </c:catAx>
      <c:valAx>
        <c:axId val="177144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Promedio Por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'Filtros Avanzado 2 '!$C$17</c:f>
              <c:strCache>
                <c:ptCount val="1"/>
                <c:pt idx="0">
                  <c:v>Promedio Venta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2 '!$A$18:$A$20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'!$C$18:$C$20</c:f>
              <c:numCache>
                <c:formatCode>_-[$$-2C0A]\ * #,##0_-;\-[$$-2C0A]\ * #,##0_-;_-[$$-2C0A]\ * "-"??_-;_-@_-</c:formatCode>
                <c:ptCount val="3"/>
                <c:pt idx="0">
                  <c:v>25500</c:v>
                </c:pt>
                <c:pt idx="1">
                  <c:v>4600</c:v>
                </c:pt>
                <c:pt idx="2">
                  <c:v>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1-4A78-A328-ADE46C58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446048"/>
        <c:axId val="1771443168"/>
      </c:barChart>
      <c:catAx>
        <c:axId val="17714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3168"/>
        <c:crosses val="autoZero"/>
        <c:auto val="1"/>
        <c:lblAlgn val="ctr"/>
        <c:lblOffset val="100"/>
        <c:noMultiLvlLbl val="0"/>
      </c:catAx>
      <c:valAx>
        <c:axId val="17714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Mayor Venta Registrada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'Filtros Avanzado 2 '!$D$17</c:f>
              <c:strCache>
                <c:ptCount val="1"/>
                <c:pt idx="0">
                  <c:v>Venta Mayor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58-49DC-98DC-765DD56159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58-49DC-98DC-765DD56159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58-49DC-98DC-765DD56159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'Filtros Avanzado 2 '!$A$18:$A$20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'!$D$18:$D$20</c:f>
              <c:numCache>
                <c:formatCode>_-[$$-2C0A]\ * #,##0_-;\-[$$-2C0A]\ * #,##0_-;_-[$$-2C0A]\ * "-"??_-;_-@_-</c:formatCode>
                <c:ptCount val="3"/>
                <c:pt idx="0">
                  <c:v>45000</c:v>
                </c:pt>
                <c:pt idx="1">
                  <c:v>9500</c:v>
                </c:pt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58-49DC-98DC-765DD561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Menor Venta Registrada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2 '!$E$17</c:f>
              <c:strCache>
                <c:ptCount val="1"/>
                <c:pt idx="0">
                  <c:v>Venta Menor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'Filtros Avanzado 2 '!$A$18:$A$20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'!$E$18:$E$20</c:f>
              <c:numCache>
                <c:formatCode>_-[$$-2C0A]\ * #,##0_-;\-[$$-2C0A]\ * #,##0_-;_-[$$-2C0A]\ * "-"??_-;_-@_-</c:formatCode>
                <c:ptCount val="3"/>
                <c:pt idx="0">
                  <c:v>3500</c:v>
                </c:pt>
                <c:pt idx="1">
                  <c:v>800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3-4C91-ABBE-2478AD5E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445088"/>
        <c:axId val="1771448928"/>
      </c:barChart>
      <c:catAx>
        <c:axId val="177144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8928"/>
        <c:crosses val="autoZero"/>
        <c:auto val="1"/>
        <c:lblAlgn val="ctr"/>
        <c:lblOffset val="100"/>
        <c:noMultiLvlLbl val="0"/>
      </c:catAx>
      <c:valAx>
        <c:axId val="177144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76200</xdr:rowOff>
    </xdr:from>
    <xdr:to>
      <xdr:col>5</xdr:col>
      <xdr:colOff>449580</xdr:colOff>
      <xdr:row>12</xdr:row>
      <xdr:rowOff>91440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01A5550-ADDA-75A8-681B-C471DBCB6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0</xdr:row>
      <xdr:rowOff>91440</xdr:rowOff>
    </xdr:from>
    <xdr:to>
      <xdr:col>11</xdr:col>
      <xdr:colOff>502920</xdr:colOff>
      <xdr:row>12</xdr:row>
      <xdr:rowOff>137160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F653DE19-9358-CFEE-E2C8-C7517673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91440</xdr:rowOff>
    </xdr:from>
    <xdr:to>
      <xdr:col>5</xdr:col>
      <xdr:colOff>518160</xdr:colOff>
      <xdr:row>25</xdr:row>
      <xdr:rowOff>160020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50B39A99-0A57-79DB-E3AF-DFB725214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68580</xdr:colOff>
      <xdr:row>13</xdr:row>
      <xdr:rowOff>106680</xdr:rowOff>
    </xdr:from>
    <xdr:to>
      <xdr:col>11</xdr:col>
      <xdr:colOff>525780</xdr:colOff>
      <xdr:row>26</xdr:row>
      <xdr:rowOff>22860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A1B0A26A-EDE7-6CAE-1071-1CF52A4E2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76199</xdr:rowOff>
    </xdr:from>
    <xdr:to>
      <xdr:col>6</xdr:col>
      <xdr:colOff>274320</xdr:colOff>
      <xdr:row>15</xdr:row>
      <xdr:rowOff>150080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E8176686-ACF1-0F4A-7B9E-1FF388F56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356815</xdr:colOff>
      <xdr:row>2</xdr:row>
      <xdr:rowOff>89453</xdr:rowOff>
    </xdr:from>
    <xdr:to>
      <xdr:col>13</xdr:col>
      <xdr:colOff>289560</xdr:colOff>
      <xdr:row>15</xdr:row>
      <xdr:rowOff>137160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D2240067-275B-F9A7-6DB0-D62510A1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7619</xdr:rowOff>
    </xdr:from>
    <xdr:to>
      <xdr:col>6</xdr:col>
      <xdr:colOff>281940</xdr:colOff>
      <xdr:row>28</xdr:row>
      <xdr:rowOff>152400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F2247DC5-AA84-4484-87DE-CB43F5ADE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406842</xdr:colOff>
      <xdr:row>17</xdr:row>
      <xdr:rowOff>30479</xdr:rowOff>
    </xdr:from>
    <xdr:to>
      <xdr:col>13</xdr:col>
      <xdr:colOff>327660</xdr:colOff>
      <xdr:row>29</xdr:row>
      <xdr:rowOff>152400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DBE0194-9EE5-B272-531C-CD90A07C7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AC8F-666D-43FC-ABDC-D78EABB75DA5}">
  <sheetPr codeName="Sheet1">
    <tabColor rgb="FFFFC000"/>
  </sheetPr>
  <dimension ref="A1:G36"/>
  <sheetViews>
    <sheetView topLeftCell="A4" zoomScale="75" zoomScaleNormal="75" workbookViewId="0">
      <selection activeCell="F30" sqref="F30"/>
    </sheetView>
  </sheetViews>
  <sheetFormatPr defaultRowHeight="14.4" x14ac:dyDescent="0.3"/>
  <cols>
    <col min="1" max="1" width="16.44140625" bestFit="1" customWidth="1"/>
    <col min="2" max="2" width="15.21875" bestFit="1" customWidth="1"/>
    <col min="3" max="3" width="17" bestFit="1" customWidth="1"/>
    <col min="4" max="5" width="20.109375" bestFit="1" customWidth="1"/>
    <col min="6" max="6" width="21.88671875" bestFit="1" customWidth="1"/>
    <col min="7" max="7" width="10" bestFit="1" customWidth="1"/>
  </cols>
  <sheetData>
    <row r="1" spans="1:7" ht="18" x14ac:dyDescent="0.35">
      <c r="A1" s="25" t="s">
        <v>0</v>
      </c>
      <c r="B1" s="25"/>
      <c r="C1" s="25"/>
    </row>
    <row r="4" spans="1:7" ht="15.6" x14ac:dyDescent="0.3">
      <c r="A4" s="26" t="s">
        <v>1</v>
      </c>
      <c r="B4" s="26"/>
      <c r="C4" s="26"/>
      <c r="D4" s="26"/>
      <c r="E4" s="26"/>
    </row>
    <row r="6" spans="1:7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10" t="s">
        <v>14</v>
      </c>
      <c r="G7" s="3" t="s">
        <v>15</v>
      </c>
    </row>
    <row r="8" spans="1:7" x14ac:dyDescent="0.3">
      <c r="A8" s="8">
        <v>101</v>
      </c>
      <c r="B8" s="8" t="s">
        <v>25</v>
      </c>
      <c r="C8" s="8" t="s">
        <v>48</v>
      </c>
      <c r="D8" s="8" t="s">
        <v>33</v>
      </c>
      <c r="E8" s="11">
        <v>60000</v>
      </c>
      <c r="F8" s="9">
        <v>5</v>
      </c>
      <c r="G8" s="8" t="s">
        <v>42</v>
      </c>
    </row>
    <row r="9" spans="1:7" x14ac:dyDescent="0.3">
      <c r="A9" s="6">
        <v>102</v>
      </c>
      <c r="B9" s="2" t="s">
        <v>16</v>
      </c>
      <c r="C9" s="2" t="s">
        <v>30</v>
      </c>
      <c r="D9" s="2" t="s">
        <v>34</v>
      </c>
      <c r="E9" s="12">
        <v>32000</v>
      </c>
      <c r="F9" s="4">
        <v>3</v>
      </c>
      <c r="G9" s="2" t="s">
        <v>42</v>
      </c>
    </row>
    <row r="10" spans="1:7" x14ac:dyDescent="0.3">
      <c r="A10" s="6">
        <v>103</v>
      </c>
      <c r="B10" s="2" t="s">
        <v>17</v>
      </c>
      <c r="C10" s="2" t="s">
        <v>31</v>
      </c>
      <c r="D10" s="2" t="s">
        <v>35</v>
      </c>
      <c r="E10" s="12">
        <v>38000</v>
      </c>
      <c r="F10" s="4">
        <v>4</v>
      </c>
      <c r="G10" s="2" t="s">
        <v>42</v>
      </c>
    </row>
    <row r="11" spans="1:7" x14ac:dyDescent="0.3">
      <c r="A11" s="6">
        <v>104</v>
      </c>
      <c r="B11" s="2" t="s">
        <v>18</v>
      </c>
      <c r="C11" s="2" t="s">
        <v>48</v>
      </c>
      <c r="D11" s="2" t="s">
        <v>36</v>
      </c>
      <c r="E11" s="12">
        <v>62000</v>
      </c>
      <c r="F11" s="4">
        <v>8</v>
      </c>
      <c r="G11" s="2" t="s">
        <v>42</v>
      </c>
    </row>
    <row r="12" spans="1:7" x14ac:dyDescent="0.3">
      <c r="A12" s="6">
        <v>105</v>
      </c>
      <c r="B12" s="2" t="s">
        <v>19</v>
      </c>
      <c r="C12" s="2" t="s">
        <v>32</v>
      </c>
      <c r="D12" s="2" t="s">
        <v>37</v>
      </c>
      <c r="E12" s="12">
        <v>41000</v>
      </c>
      <c r="F12" s="4">
        <v>6</v>
      </c>
      <c r="G12" s="2" t="s">
        <v>42</v>
      </c>
    </row>
    <row r="13" spans="1:7" x14ac:dyDescent="0.3">
      <c r="A13" s="6">
        <v>106</v>
      </c>
      <c r="B13" s="2" t="s">
        <v>20</v>
      </c>
      <c r="C13" s="2" t="s">
        <v>30</v>
      </c>
      <c r="D13" s="2" t="s">
        <v>34</v>
      </c>
      <c r="E13" s="12">
        <v>35000</v>
      </c>
      <c r="F13" s="4">
        <v>2</v>
      </c>
      <c r="G13" s="2" t="s">
        <v>41</v>
      </c>
    </row>
    <row r="14" spans="1:7" x14ac:dyDescent="0.3">
      <c r="A14" s="6">
        <v>107</v>
      </c>
      <c r="B14" s="2" t="s">
        <v>21</v>
      </c>
      <c r="C14" s="2" t="s">
        <v>31</v>
      </c>
      <c r="D14" s="2" t="s">
        <v>38</v>
      </c>
      <c r="E14" s="12">
        <v>29000</v>
      </c>
      <c r="F14" s="4">
        <v>1</v>
      </c>
      <c r="G14" s="2" t="s">
        <v>42</v>
      </c>
    </row>
    <row r="15" spans="1:7" x14ac:dyDescent="0.3">
      <c r="A15" s="6">
        <v>108</v>
      </c>
      <c r="B15" s="2" t="s">
        <v>22</v>
      </c>
      <c r="C15" s="2" t="s">
        <v>48</v>
      </c>
      <c r="D15" s="2" t="s">
        <v>33</v>
      </c>
      <c r="E15" s="12">
        <v>68000</v>
      </c>
      <c r="F15" s="4">
        <v>10</v>
      </c>
      <c r="G15" s="2" t="s">
        <v>42</v>
      </c>
    </row>
    <row r="16" spans="1:7" x14ac:dyDescent="0.3">
      <c r="A16" s="6">
        <v>109</v>
      </c>
      <c r="B16" s="2" t="s">
        <v>23</v>
      </c>
      <c r="C16" s="2" t="s">
        <v>32</v>
      </c>
      <c r="D16" s="2" t="s">
        <v>39</v>
      </c>
      <c r="E16" s="12">
        <v>45000</v>
      </c>
      <c r="F16" s="4">
        <v>7</v>
      </c>
      <c r="G16" s="2" t="s">
        <v>42</v>
      </c>
    </row>
    <row r="17" spans="1:7" x14ac:dyDescent="0.3">
      <c r="A17" s="6">
        <v>110</v>
      </c>
      <c r="B17" s="2" t="s">
        <v>24</v>
      </c>
      <c r="C17" s="2" t="s">
        <v>31</v>
      </c>
      <c r="D17" s="2" t="s">
        <v>35</v>
      </c>
      <c r="E17" s="12">
        <v>33000</v>
      </c>
      <c r="F17" s="4">
        <v>3</v>
      </c>
      <c r="G17" s="2" t="s">
        <v>41</v>
      </c>
    </row>
    <row r="18" spans="1:7" x14ac:dyDescent="0.3">
      <c r="A18" s="6">
        <v>111</v>
      </c>
      <c r="B18" s="2" t="s">
        <v>25</v>
      </c>
      <c r="C18" s="2" t="s">
        <v>48</v>
      </c>
      <c r="D18" s="2" t="s">
        <v>36</v>
      </c>
      <c r="E18" s="12">
        <v>58000</v>
      </c>
      <c r="F18" s="4">
        <v>6</v>
      </c>
      <c r="G18" s="2" t="s">
        <v>42</v>
      </c>
    </row>
    <row r="19" spans="1:7" x14ac:dyDescent="0.3">
      <c r="A19" s="6">
        <v>112</v>
      </c>
      <c r="B19" s="2" t="s">
        <v>26</v>
      </c>
      <c r="C19" s="2" t="s">
        <v>30</v>
      </c>
      <c r="D19" s="2" t="s">
        <v>40</v>
      </c>
      <c r="E19" s="12">
        <v>48000</v>
      </c>
      <c r="F19" s="4">
        <v>9</v>
      </c>
      <c r="G19" s="2" t="s">
        <v>42</v>
      </c>
    </row>
    <row r="20" spans="1:7" x14ac:dyDescent="0.3">
      <c r="A20" s="6">
        <v>113</v>
      </c>
      <c r="B20" s="2" t="s">
        <v>27</v>
      </c>
      <c r="C20" s="2" t="s">
        <v>32</v>
      </c>
      <c r="D20" s="2" t="s">
        <v>37</v>
      </c>
      <c r="E20" s="12">
        <v>43000</v>
      </c>
      <c r="F20" s="4">
        <v>5</v>
      </c>
      <c r="G20" s="2" t="s">
        <v>42</v>
      </c>
    </row>
    <row r="21" spans="1:7" x14ac:dyDescent="0.3">
      <c r="A21" s="6">
        <v>114</v>
      </c>
      <c r="B21" s="2" t="s">
        <v>28</v>
      </c>
      <c r="C21" s="2" t="s">
        <v>31</v>
      </c>
      <c r="D21" s="2" t="s">
        <v>35</v>
      </c>
      <c r="E21" s="12">
        <v>31000</v>
      </c>
      <c r="F21" s="4">
        <v>2</v>
      </c>
      <c r="G21" s="2" t="s">
        <v>42</v>
      </c>
    </row>
    <row r="22" spans="1:7" x14ac:dyDescent="0.3">
      <c r="A22" s="6">
        <v>115</v>
      </c>
      <c r="B22" s="2" t="s">
        <v>29</v>
      </c>
      <c r="C22" s="2" t="s">
        <v>48</v>
      </c>
      <c r="D22" s="2" t="s">
        <v>33</v>
      </c>
      <c r="E22" s="12">
        <v>72000</v>
      </c>
      <c r="F22" s="4">
        <v>12</v>
      </c>
      <c r="G22" s="2" t="s">
        <v>42</v>
      </c>
    </row>
    <row r="23" spans="1:7" x14ac:dyDescent="0.3">
      <c r="E23" s="7"/>
    </row>
    <row r="25" spans="1:7" ht="15.6" x14ac:dyDescent="0.3">
      <c r="A25" s="27" t="s">
        <v>43</v>
      </c>
      <c r="B25" s="27"/>
      <c r="C25" s="27"/>
      <c r="D25" s="27"/>
      <c r="E25" s="27"/>
    </row>
    <row r="28" spans="1:7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</row>
    <row r="29" spans="1:7" x14ac:dyDescent="0.3">
      <c r="A29" s="5" t="s">
        <v>11</v>
      </c>
      <c r="B29" s="5" t="s">
        <v>44</v>
      </c>
      <c r="C29" s="5" t="s">
        <v>45</v>
      </c>
      <c r="D29" s="5" t="s">
        <v>47</v>
      </c>
      <c r="E29" s="5" t="s">
        <v>46</v>
      </c>
    </row>
    <row r="30" spans="1:7" x14ac:dyDescent="0.3">
      <c r="A30" s="1" t="s">
        <v>31</v>
      </c>
      <c r="B30" s="2">
        <f>SUMIF($C$8:$C$22, A30, $E$8:$E$22)</f>
        <v>131000</v>
      </c>
      <c r="C30" s="2">
        <f>AVERAGEIF($C$8:$C$22, A30,$E$8:$E$22)</f>
        <v>32750</v>
      </c>
      <c r="D30" s="2">
        <f>_xlfn.MAXIFS($E$8:$E$22, $C$8:$C$22,A30)</f>
        <v>38000</v>
      </c>
      <c r="E30" s="2">
        <f>_xlfn.MINIFS($E$8:$E$22, $C$8:$C$22, A30)</f>
        <v>29000</v>
      </c>
    </row>
    <row r="31" spans="1:7" x14ac:dyDescent="0.3">
      <c r="A31" s="1" t="s">
        <v>30</v>
      </c>
      <c r="B31" s="2">
        <f t="shared" ref="B31:B33" si="0">SUMIF($C$8:$C$22, A31, $E$8:$E$22)</f>
        <v>115000</v>
      </c>
      <c r="C31" s="2">
        <f t="shared" ref="C31:C33" si="1">AVERAGEIF($C$8:$C$22, A31,$E$8:$E$22)</f>
        <v>38333.333333333336</v>
      </c>
      <c r="D31" s="2">
        <f t="shared" ref="D31:D33" si="2">_xlfn.MAXIFS($E$8:$E$22, $C$8:$C$22,A31)</f>
        <v>48000</v>
      </c>
      <c r="E31" s="2">
        <f t="shared" ref="E31:E33" si="3">_xlfn.MINIFS($E$8:$E$22, $C$8:$C$22, A31)</f>
        <v>32000</v>
      </c>
    </row>
    <row r="32" spans="1:7" x14ac:dyDescent="0.3">
      <c r="A32" s="1" t="s">
        <v>48</v>
      </c>
      <c r="B32" s="2">
        <f t="shared" si="0"/>
        <v>320000</v>
      </c>
      <c r="C32" s="2">
        <f t="shared" si="1"/>
        <v>64000</v>
      </c>
      <c r="D32" s="2">
        <f t="shared" si="2"/>
        <v>72000</v>
      </c>
      <c r="E32" s="2">
        <f t="shared" si="3"/>
        <v>58000</v>
      </c>
    </row>
    <row r="33" spans="1:5" x14ac:dyDescent="0.3">
      <c r="A33" s="1" t="s">
        <v>32</v>
      </c>
      <c r="B33" s="2">
        <f t="shared" si="0"/>
        <v>129000</v>
      </c>
      <c r="C33" s="2">
        <f t="shared" si="1"/>
        <v>43000</v>
      </c>
      <c r="D33" s="2">
        <f t="shared" si="2"/>
        <v>45000</v>
      </c>
      <c r="E33" s="2">
        <f t="shared" si="3"/>
        <v>41000</v>
      </c>
    </row>
    <row r="36" spans="1:5" ht="14.4" customHeight="1" x14ac:dyDescent="0.4">
      <c r="A36" s="13"/>
      <c r="B36" s="13"/>
    </row>
  </sheetData>
  <autoFilter ref="A7:G22" xr:uid="{18CBAC8F-666D-43FC-ABDC-D78EABB75DA5}"/>
  <mergeCells count="3">
    <mergeCell ref="A1:C1"/>
    <mergeCell ref="A4:E4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BEFD-8049-4E1E-AC37-51180C08910E}">
  <sheetPr codeName="Sheet2">
    <tabColor theme="7" tint="0.59999389629810485"/>
  </sheetPr>
  <dimension ref="A1"/>
  <sheetViews>
    <sheetView workbookViewId="0">
      <selection activeCell="M2" sqref="M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25B1-5D87-4456-B81E-A74E13A274E2}">
  <sheetPr codeName="Sheet3">
    <tabColor theme="8"/>
  </sheetPr>
  <dimension ref="A1:I31"/>
  <sheetViews>
    <sheetView zoomScale="70" zoomScaleNormal="70" workbookViewId="0">
      <selection activeCell="E31" sqref="E31"/>
    </sheetView>
  </sheetViews>
  <sheetFormatPr defaultRowHeight="14.4" x14ac:dyDescent="0.3"/>
  <cols>
    <col min="1" max="1" width="17.88671875" customWidth="1"/>
    <col min="2" max="2" width="27.77734375" bestFit="1" customWidth="1"/>
    <col min="3" max="3" width="18.6640625" bestFit="1" customWidth="1"/>
    <col min="4" max="4" width="36" bestFit="1" customWidth="1"/>
    <col min="5" max="5" width="15.109375" bestFit="1" customWidth="1"/>
    <col min="6" max="6" width="15.6640625" bestFit="1" customWidth="1"/>
    <col min="7" max="7" width="13" bestFit="1" customWidth="1"/>
    <col min="8" max="8" width="12.44140625" bestFit="1" customWidth="1"/>
    <col min="9" max="9" width="11.33203125" bestFit="1" customWidth="1"/>
  </cols>
  <sheetData>
    <row r="1" spans="1:9" ht="18" x14ac:dyDescent="0.35">
      <c r="A1" s="14" t="s">
        <v>49</v>
      </c>
      <c r="B1" s="14"/>
      <c r="C1" s="14"/>
      <c r="D1" s="14"/>
    </row>
    <row r="4" spans="1:9" x14ac:dyDescent="0.3">
      <c r="A4" s="21" t="s">
        <v>50</v>
      </c>
      <c r="B4" s="21" t="s">
        <v>51</v>
      </c>
      <c r="C4" s="21" t="s">
        <v>52</v>
      </c>
      <c r="D4" s="21" t="s">
        <v>53</v>
      </c>
      <c r="E4" s="21" t="s">
        <v>54</v>
      </c>
      <c r="F4" s="21" t="s">
        <v>55</v>
      </c>
      <c r="G4" s="21" t="s">
        <v>56</v>
      </c>
      <c r="H4" s="21" t="s">
        <v>57</v>
      </c>
    </row>
    <row r="5" spans="1:9" x14ac:dyDescent="0.3">
      <c r="A5" s="22">
        <v>101</v>
      </c>
      <c r="B5" s="18">
        <v>46027</v>
      </c>
      <c r="C5" s="19" t="s">
        <v>58</v>
      </c>
      <c r="D5" s="19" t="s">
        <v>61</v>
      </c>
      <c r="E5" s="19" t="s">
        <v>65</v>
      </c>
      <c r="F5" s="19" t="s">
        <v>71</v>
      </c>
      <c r="G5" s="17">
        <v>2</v>
      </c>
      <c r="H5" s="37">
        <v>45000</v>
      </c>
      <c r="I5" s="30"/>
    </row>
    <row r="6" spans="1:9" x14ac:dyDescent="0.3">
      <c r="A6" s="22">
        <v>102</v>
      </c>
      <c r="B6" s="18">
        <v>46029</v>
      </c>
      <c r="C6" s="19" t="s">
        <v>59</v>
      </c>
      <c r="D6" s="19" t="s">
        <v>62</v>
      </c>
      <c r="E6" s="19" t="s">
        <v>66</v>
      </c>
      <c r="F6" s="19" t="s">
        <v>71</v>
      </c>
      <c r="G6" s="17">
        <v>5</v>
      </c>
      <c r="H6" s="37">
        <v>800</v>
      </c>
      <c r="I6" s="30"/>
    </row>
    <row r="7" spans="1:9" x14ac:dyDescent="0.3">
      <c r="A7" s="22">
        <v>103</v>
      </c>
      <c r="B7" s="18">
        <v>46032</v>
      </c>
      <c r="C7" s="19" t="s">
        <v>60</v>
      </c>
      <c r="D7" s="19" t="s">
        <v>61</v>
      </c>
      <c r="E7" s="19" t="s">
        <v>67</v>
      </c>
      <c r="F7" s="19" t="s">
        <v>72</v>
      </c>
      <c r="G7" s="17">
        <v>1</v>
      </c>
      <c r="H7" s="37">
        <v>1200</v>
      </c>
    </row>
    <row r="8" spans="1:9" x14ac:dyDescent="0.3">
      <c r="A8" s="22">
        <v>104</v>
      </c>
      <c r="B8" s="18">
        <v>46034</v>
      </c>
      <c r="C8" s="19" t="s">
        <v>58</v>
      </c>
      <c r="D8" s="19" t="s">
        <v>63</v>
      </c>
      <c r="E8" s="19" t="s">
        <v>68</v>
      </c>
      <c r="F8" s="19" t="s">
        <v>72</v>
      </c>
      <c r="G8" s="17">
        <v>3</v>
      </c>
      <c r="H8" s="37">
        <v>3500</v>
      </c>
      <c r="I8" s="30"/>
    </row>
    <row r="9" spans="1:9" x14ac:dyDescent="0.3">
      <c r="A9" s="22">
        <v>105</v>
      </c>
      <c r="B9" s="18">
        <v>46037</v>
      </c>
      <c r="C9" s="19" t="s">
        <v>59</v>
      </c>
      <c r="D9" s="19" t="s">
        <v>62</v>
      </c>
      <c r="E9" s="19" t="s">
        <v>69</v>
      </c>
      <c r="F9" s="19" t="s">
        <v>71</v>
      </c>
      <c r="G9" s="17">
        <v>2</v>
      </c>
      <c r="H9" s="38">
        <v>9500</v>
      </c>
    </row>
    <row r="10" spans="1:9" x14ac:dyDescent="0.3">
      <c r="A10" s="22">
        <v>106</v>
      </c>
      <c r="B10" s="18">
        <v>46040</v>
      </c>
      <c r="C10" s="19" t="s">
        <v>60</v>
      </c>
      <c r="D10" s="19" t="s">
        <v>64</v>
      </c>
      <c r="E10" s="19" t="s">
        <v>65</v>
      </c>
      <c r="F10" s="19" t="s">
        <v>71</v>
      </c>
      <c r="G10" s="17">
        <v>1</v>
      </c>
      <c r="H10" s="37">
        <v>45000</v>
      </c>
      <c r="I10" s="30"/>
    </row>
    <row r="11" spans="1:9" x14ac:dyDescent="0.3">
      <c r="A11" s="22">
        <v>107</v>
      </c>
      <c r="B11" s="18">
        <v>46042</v>
      </c>
      <c r="C11" s="19" t="s">
        <v>58</v>
      </c>
      <c r="D11" s="19" t="s">
        <v>62</v>
      </c>
      <c r="E11" s="19" t="s">
        <v>70</v>
      </c>
      <c r="F11" s="19" t="s">
        <v>71</v>
      </c>
      <c r="G11" s="17">
        <v>2</v>
      </c>
      <c r="H11" s="37">
        <v>8500</v>
      </c>
      <c r="I11" s="30"/>
    </row>
    <row r="12" spans="1:9" x14ac:dyDescent="0.3">
      <c r="A12" s="22">
        <v>108</v>
      </c>
      <c r="B12" s="18">
        <v>46044</v>
      </c>
      <c r="C12" s="19" t="s">
        <v>59</v>
      </c>
      <c r="D12" s="19" t="s">
        <v>61</v>
      </c>
      <c r="E12" s="19" t="s">
        <v>68</v>
      </c>
      <c r="F12" s="19" t="s">
        <v>72</v>
      </c>
      <c r="G12" s="17">
        <v>4</v>
      </c>
      <c r="H12" s="37">
        <v>3500</v>
      </c>
      <c r="I12" s="30"/>
    </row>
    <row r="13" spans="1:9" x14ac:dyDescent="0.3">
      <c r="A13" s="22">
        <v>109</v>
      </c>
      <c r="B13" s="18">
        <v>46047</v>
      </c>
      <c r="C13" s="19" t="s">
        <v>60</v>
      </c>
      <c r="D13" s="19" t="s">
        <v>63</v>
      </c>
      <c r="E13" s="19" t="s">
        <v>67</v>
      </c>
      <c r="F13" s="19" t="s">
        <v>72</v>
      </c>
      <c r="G13" s="17">
        <v>2</v>
      </c>
      <c r="H13" s="37">
        <v>1200</v>
      </c>
      <c r="I13" s="30"/>
    </row>
    <row r="14" spans="1:9" x14ac:dyDescent="0.3">
      <c r="A14" s="22">
        <v>110</v>
      </c>
      <c r="B14" s="18">
        <v>46050</v>
      </c>
      <c r="C14" s="19" t="s">
        <v>58</v>
      </c>
      <c r="D14" s="19" t="s">
        <v>62</v>
      </c>
      <c r="E14" s="19" t="s">
        <v>65</v>
      </c>
      <c r="F14" s="19" t="s">
        <v>71</v>
      </c>
      <c r="G14" s="17">
        <v>1</v>
      </c>
      <c r="H14" s="37">
        <v>45000</v>
      </c>
      <c r="I14" s="30"/>
    </row>
    <row r="15" spans="1:9" x14ac:dyDescent="0.3">
      <c r="A15" s="15"/>
      <c r="B15" s="16"/>
      <c r="C15" s="15"/>
      <c r="D15" s="15"/>
      <c r="E15" s="15"/>
      <c r="F15" s="15"/>
      <c r="G15" s="15"/>
      <c r="H15" s="15"/>
      <c r="I15" s="30"/>
    </row>
    <row r="16" spans="1:9" x14ac:dyDescent="0.3">
      <c r="A16" s="15"/>
      <c r="B16" s="15"/>
      <c r="C16" s="15"/>
      <c r="D16" s="15"/>
      <c r="E16" s="15"/>
      <c r="F16" s="15"/>
      <c r="G16" s="15"/>
      <c r="H16" s="15"/>
    </row>
    <row r="17" spans="1:5" x14ac:dyDescent="0.3">
      <c r="A17" s="28" t="s">
        <v>52</v>
      </c>
      <c r="B17" s="28" t="s">
        <v>73</v>
      </c>
      <c r="C17" s="28" t="s">
        <v>74</v>
      </c>
      <c r="D17" s="29" t="s">
        <v>75</v>
      </c>
      <c r="E17" s="28" t="s">
        <v>76</v>
      </c>
    </row>
    <row r="18" spans="1:5" x14ac:dyDescent="0.3">
      <c r="A18" s="1" t="s">
        <v>58</v>
      </c>
      <c r="B18" s="23">
        <f>SUMIF($C$5:$C$14, A18, $H$5:$H$14)</f>
        <v>102000</v>
      </c>
      <c r="C18" s="24">
        <f>AVERAGEIF($C$5:$C$14, A18, $H$5:$H$14)</f>
        <v>25500</v>
      </c>
      <c r="D18" s="24">
        <f>_xlfn.MAXIFS($H$5:$H$14,$C$5:$C$14,A18)</f>
        <v>45000</v>
      </c>
      <c r="E18" s="24">
        <f>_xlfn.MINIFS($H$5:$H$14,$C$5:$C$14,A18)</f>
        <v>3500</v>
      </c>
    </row>
    <row r="19" spans="1:5" ht="15" customHeight="1" x14ac:dyDescent="0.3">
      <c r="A19" s="1" t="s">
        <v>59</v>
      </c>
      <c r="B19" s="23">
        <f t="shared" ref="B19" si="0">SUMIF($C$5:$C$14, A19, $H$5:$H$14)</f>
        <v>13800</v>
      </c>
      <c r="C19" s="24">
        <f t="shared" ref="C19:C20" si="1">AVERAGEIF($C$5:$C$14, A19, $H$5:$H$14)</f>
        <v>4600</v>
      </c>
      <c r="D19" s="24">
        <f t="shared" ref="D19:D20" si="2">_xlfn.MAXIFS($H$5:$H$14,$C$5:$C$14,A19)</f>
        <v>9500</v>
      </c>
      <c r="E19" s="24">
        <f t="shared" ref="E19" si="3">_xlfn.MINIFS($H$5:$H$14,$C$5:$C$14,A19)</f>
        <v>800</v>
      </c>
    </row>
    <row r="20" spans="1:5" ht="15" customHeight="1" x14ac:dyDescent="0.3">
      <c r="A20" s="1" t="s">
        <v>60</v>
      </c>
      <c r="B20" s="23">
        <f>SUMIF($C$5:$C$14, A20, $H$5:$H$14)</f>
        <v>47400</v>
      </c>
      <c r="C20" s="24">
        <f t="shared" si="1"/>
        <v>15800</v>
      </c>
      <c r="D20" s="24">
        <f t="shared" si="2"/>
        <v>45000</v>
      </c>
      <c r="E20" s="24">
        <f>_xlfn.MINIFS(H5:H14,C5:C14,A20)</f>
        <v>1200</v>
      </c>
    </row>
    <row r="23" spans="1:5" ht="19.2" x14ac:dyDescent="0.45">
      <c r="B23" s="39" t="s">
        <v>88</v>
      </c>
      <c r="C23" s="39"/>
      <c r="D23" s="39"/>
      <c r="E23" s="39"/>
    </row>
    <row r="25" spans="1:5" ht="18" x14ac:dyDescent="0.35">
      <c r="B25" s="36" t="s">
        <v>2</v>
      </c>
      <c r="C25" s="36" t="s">
        <v>3</v>
      </c>
      <c r="D25" s="36" t="s">
        <v>4</v>
      </c>
    </row>
    <row r="26" spans="1:5" ht="18" x14ac:dyDescent="0.35">
      <c r="B26" s="31" t="s">
        <v>77</v>
      </c>
      <c r="C26" s="31" t="s">
        <v>78</v>
      </c>
      <c r="D26" s="31" t="s">
        <v>79</v>
      </c>
    </row>
    <row r="27" spans="1:5" ht="18" x14ac:dyDescent="0.3">
      <c r="B27" s="32" t="s">
        <v>73</v>
      </c>
      <c r="C27" s="33">
        <f>SUMPRODUCT(G5:G14,H5:H14)</f>
        <v>248100</v>
      </c>
      <c r="D27" s="35" t="s">
        <v>83</v>
      </c>
    </row>
    <row r="28" spans="1:5" ht="18" x14ac:dyDescent="0.3">
      <c r="B28" s="32" t="s">
        <v>80</v>
      </c>
      <c r="C28" s="33" t="str">
        <f>INDEX(C5:C14,MATCH(MAX(B18:B20),B18:B20,0))</f>
        <v>Ana</v>
      </c>
      <c r="D28" s="35" t="s">
        <v>84</v>
      </c>
    </row>
    <row r="29" spans="1:5" ht="18" x14ac:dyDescent="0.3">
      <c r="B29" s="32" t="s">
        <v>81</v>
      </c>
      <c r="C29" s="33">
        <f>SUM(G5:G14)</f>
        <v>23</v>
      </c>
      <c r="D29" s="35" t="s">
        <v>85</v>
      </c>
    </row>
    <row r="30" spans="1:5" ht="18" x14ac:dyDescent="0.3">
      <c r="B30" s="32" t="s">
        <v>82</v>
      </c>
      <c r="C30" s="33">
        <f>AVERAGE(H5:H14)</f>
        <v>16320</v>
      </c>
      <c r="D30" s="35" t="s">
        <v>86</v>
      </c>
    </row>
    <row r="31" spans="1:5" ht="18" x14ac:dyDescent="0.3">
      <c r="B31" s="32" t="s">
        <v>89</v>
      </c>
      <c r="C31" s="34" t="str">
        <f>INDEX(E5:E14,MATCH(MAX(G5:G14),G5:G14,0))</f>
        <v>Mouse</v>
      </c>
      <c r="D31" s="35" t="s">
        <v>87</v>
      </c>
    </row>
  </sheetData>
  <autoFilter ref="A4:H20" xr:uid="{8A9125B1-5D87-4456-B81E-A74E13A274E2}"/>
  <mergeCells count="1">
    <mergeCell ref="B23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AD5E-4320-448A-AAB1-D3B6A013135D}">
  <sheetPr codeName="Sheet4">
    <tabColor theme="8" tint="0.39997558519241921"/>
  </sheetPr>
  <dimension ref="A1"/>
  <sheetViews>
    <sheetView tabSelected="1" workbookViewId="0">
      <selection activeCell="Q1" sqref="Q1"/>
    </sheetView>
  </sheetViews>
  <sheetFormatPr defaultRowHeight="14.4" x14ac:dyDescent="0.3"/>
  <sheetData>
    <row r="1" spans="1:1" x14ac:dyDescent="0.3">
      <c r="A1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Filtros Avanzado </vt:lpstr>
      <vt:lpstr>Dashboard RRHH	</vt:lpstr>
      <vt:lpstr>Filtros Avanzado 2 </vt:lpstr>
      <vt:lpstr>Dashboard Ventas</vt:lpstr>
      <vt:lpstr>'Filtros Avanzado 2 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2026-06-12T00:49:32Z</dcterms:created>
  <dcterms:modified xsi:type="dcterms:W3CDTF">2026-06-17T17:01:30Z</dcterms:modified>
</cp:coreProperties>
</file>