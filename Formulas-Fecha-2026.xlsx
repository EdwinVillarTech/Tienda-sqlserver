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2" documentId="8_{E0D0F2AA-42ED-4E8E-A4F0-CC8BE3E457C8}" xr6:coauthVersionLast="47" xr6:coauthVersionMax="47" xr10:uidLastSave="{A2D520A9-DC3F-430E-AF76-E8F150647AE5}"/>
  <bookViews>
    <workbookView xWindow="-108" yWindow="-108" windowWidth="23256" windowHeight="12456" xr2:uid="{3D26376A-7878-46AD-A1F1-4A341476EC69}"/>
  </bookViews>
  <sheets>
    <sheet name="Fech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H17" i="1"/>
  <c r="G17" i="1"/>
  <c r="F17" i="1"/>
  <c r="E17" i="1"/>
  <c r="K18" i="1"/>
  <c r="I4" i="1"/>
  <c r="J16" i="1"/>
  <c r="J4" i="1"/>
  <c r="J5" i="1"/>
  <c r="J6" i="1"/>
  <c r="J7" i="1"/>
  <c r="J8" i="1"/>
  <c r="J9" i="1"/>
  <c r="J10" i="1"/>
  <c r="J11" i="1"/>
  <c r="J12" i="1"/>
  <c r="J13" i="1"/>
  <c r="I16" i="1"/>
  <c r="I5" i="1"/>
  <c r="I6" i="1"/>
  <c r="I7" i="1"/>
  <c r="I8" i="1"/>
  <c r="I9" i="1"/>
  <c r="I10" i="1"/>
  <c r="I11" i="1"/>
  <c r="I12" i="1"/>
  <c r="I13" i="1"/>
  <c r="H16" i="1"/>
  <c r="H4" i="1"/>
  <c r="H5" i="1"/>
  <c r="H6" i="1"/>
  <c r="H7" i="1"/>
  <c r="H8" i="1"/>
  <c r="H9" i="1"/>
  <c r="H10" i="1"/>
  <c r="H11" i="1"/>
  <c r="H12" i="1"/>
  <c r="H13" i="1"/>
  <c r="G16" i="1"/>
  <c r="G4" i="1"/>
  <c r="G5" i="1"/>
  <c r="G6" i="1"/>
  <c r="G7" i="1"/>
  <c r="G8" i="1"/>
  <c r="G9" i="1"/>
  <c r="G10" i="1"/>
  <c r="G11" i="1"/>
  <c r="G12" i="1"/>
  <c r="G13" i="1"/>
  <c r="F16" i="1"/>
  <c r="F4" i="1"/>
  <c r="F5" i="1"/>
  <c r="F6" i="1"/>
  <c r="F7" i="1"/>
  <c r="F8" i="1"/>
  <c r="F9" i="1"/>
  <c r="F10" i="1"/>
  <c r="F11" i="1"/>
  <c r="F12" i="1"/>
  <c r="F13" i="1"/>
  <c r="E16" i="1"/>
  <c r="E4" i="1"/>
  <c r="E5" i="1"/>
  <c r="E6" i="1"/>
  <c r="E7" i="1"/>
  <c r="E8" i="1"/>
  <c r="E9" i="1"/>
  <c r="E10" i="1"/>
  <c r="E11" i="1"/>
  <c r="E12" i="1"/>
  <c r="E13" i="1"/>
  <c r="K16" i="1"/>
  <c r="K4" i="1"/>
  <c r="K5" i="1"/>
  <c r="K6" i="1"/>
  <c r="K7" i="1"/>
  <c r="K8" i="1"/>
  <c r="K9" i="1"/>
  <c r="K10" i="1"/>
  <c r="K11" i="1"/>
  <c r="K12" i="1"/>
  <c r="K13" i="1"/>
</calcChain>
</file>

<file path=xl/sharedStrings.xml><?xml version="1.0" encoding="utf-8"?>
<sst xmlns="http://schemas.openxmlformats.org/spreadsheetml/2006/main" count="32" uniqueCount="28">
  <si>
    <t>Proyecto: Fórmulas de Fecha — 2026</t>
  </si>
  <si>
    <t>Empleado</t>
  </si>
  <si>
    <t>Fecha Ingreso</t>
  </si>
  <si>
    <t>Fecha Salida</t>
  </si>
  <si>
    <t>Cargo</t>
  </si>
  <si>
    <t>Carlos</t>
  </si>
  <si>
    <t>Analista</t>
  </si>
  <si>
    <t>Maria</t>
  </si>
  <si>
    <t>Gerente</t>
  </si>
  <si>
    <t>Pedro</t>
  </si>
  <si>
    <t>Vendedor</t>
  </si>
  <si>
    <t>Ana</t>
  </si>
  <si>
    <t>Contadora</t>
  </si>
  <si>
    <t>Luis</t>
  </si>
  <si>
    <t>Director</t>
  </si>
  <si>
    <t>Carmen</t>
  </si>
  <si>
    <t>Roberto</t>
  </si>
  <si>
    <t>Sofia</t>
  </si>
  <si>
    <t>Juan</t>
  </si>
  <si>
    <t>Contador</t>
  </si>
  <si>
    <t>Elena</t>
  </si>
  <si>
    <t>Años Servicio</t>
  </si>
  <si>
    <t>Meses Servicio</t>
  </si>
  <si>
    <t>Dias Servicio</t>
  </si>
  <si>
    <t>Dias Habiles</t>
  </si>
  <si>
    <t>Fecha Renovacion</t>
  </si>
  <si>
    <t>Dia Semana</t>
  </si>
  <si>
    <t>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</si>
</sst>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3" fillId="2" borderId="0" xfId="0" applyFont="1" applyFill="1"/>
    <xf numFmtId="0" fontId="3" fillId="2" borderId="0" xfId="0" applyFont="1" applyFill="1" applyAlignment="1">
      <alignment wrapText="1"/>
    </xf>
    <xf numFmtId="164" fontId="3" fillId="2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0" fontId="3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3" fillId="2" borderId="0" xfId="0" applyNumberFormat="1" applyFont="1" applyFill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d/mm/yyyy;@"/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A002B-9B34-4C55-AA5B-A5B5F478067B}" name="Empleados" displayName="Empleados" ref="A3:K13" totalsRowShown="0" headerRowDxfId="14" dataDxfId="13">
  <autoFilter ref="A3:K13" xr:uid="{8D6A002B-9B34-4C55-AA5B-A5B5F478067B}"/>
  <tableColumns count="11">
    <tableColumn id="1" xr3:uid="{449DFCD7-B8B3-4312-9E05-49534A821891}" name="Empleado" dataDxfId="12"/>
    <tableColumn id="2" xr3:uid="{04680BB0-94FE-408E-8A3D-75097ADA0B4A}" name="Fecha Ingreso" dataDxfId="11"/>
    <tableColumn id="3" xr3:uid="{3918B7F0-60E9-4CE0-8B63-6846B4ED38F2}" name="Fecha Salida" dataDxfId="10"/>
    <tableColumn id="4" xr3:uid="{06348F24-F2B1-40FA-8B1A-F8C945D7E411}" name="Cargo" dataDxfId="9"/>
    <tableColumn id="5" xr3:uid="{E4DC51DF-5062-4249-82C0-A913C6DABF1B}" name="Años Servicio" dataDxfId="8">
      <calculatedColumnFormula>DATEDIF(B4,C4,"Y")</calculatedColumnFormula>
    </tableColumn>
    <tableColumn id="6" xr3:uid="{9AEFB29C-3F98-4E83-B3D6-03F4E2385EDC}" name="Meses Servicio" dataDxfId="7">
      <calculatedColumnFormula>DATEDIF(B4,C4, "M")</calculatedColumnFormula>
    </tableColumn>
    <tableColumn id="7" xr3:uid="{A90DB310-3727-4E52-AE92-A359B65C8386}" name="Dias Servicio" dataDxfId="6">
      <calculatedColumnFormula>DATEDIF(B4,C4, "D")</calculatedColumnFormula>
    </tableColumn>
    <tableColumn id="8" xr3:uid="{0A4C2B24-6ABC-4FA0-A107-FAE3466F10D5}" name="Dias Habiles" dataDxfId="5">
      <calculatedColumnFormula>NETWORKDAYS(B4,C4)</calculatedColumnFormula>
    </tableColumn>
    <tableColumn id="9" xr3:uid="{6ECD7FA4-DD24-4A95-B928-AF17516746F9}" name="Fecha Renovacion" dataDxfId="4">
      <calculatedColumnFormula>EDATE(C4,6)</calculatedColumnFormula>
    </tableColumn>
    <tableColumn id="10" xr3:uid="{E55DD2A2-B647-4A82-8F82-15BE3B3D65CD}" name="Dia Semana" dataDxfId="3">
      <calculatedColumnFormula>CHOOSE(WEEKDAY(B4,2), "Lunes", "Martes", "Miercoles", "Jueves", "Viernes", "Sabado", "Domingo")</calculatedColumnFormula>
    </tableColumn>
    <tableColumn id="11" xr3:uid="{2EC587AC-ED24-42E9-AD5B-AA78F0626A9F}" name="Hoy" dataDxfId="2">
      <calculatedColumnFormula>TODAY()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2B6F-746F-4264-8124-02FE7EFEB02C}">
  <dimension ref="A1:N19"/>
  <sheetViews>
    <sheetView tabSelected="1" workbookViewId="0">
      <selection activeCell="J4" sqref="J4"/>
    </sheetView>
  </sheetViews>
  <sheetFormatPr defaultRowHeight="14.4" x14ac:dyDescent="0.3"/>
  <cols>
    <col min="1" max="1" width="11.88671875" bestFit="1" customWidth="1"/>
    <col min="2" max="2" width="15.33203125" style="8" bestFit="1" customWidth="1"/>
    <col min="3" max="3" width="14.109375" style="8" bestFit="1" customWidth="1"/>
    <col min="4" max="4" width="9.33203125" bestFit="1" customWidth="1"/>
    <col min="5" max="5" width="17.33203125" style="11" bestFit="1" customWidth="1"/>
    <col min="6" max="6" width="16" bestFit="1" customWidth="1"/>
    <col min="7" max="7" width="14.44140625" bestFit="1" customWidth="1"/>
    <col min="8" max="8" width="14" bestFit="1" customWidth="1"/>
    <col min="9" max="9" width="21.33203125" style="12" bestFit="1" customWidth="1"/>
    <col min="10" max="10" width="15.77734375" style="11" bestFit="1" customWidth="1"/>
    <col min="11" max="11" width="9.5546875" bestFit="1" customWidth="1"/>
  </cols>
  <sheetData>
    <row r="1" spans="1:14" ht="15.6" x14ac:dyDescent="0.3">
      <c r="A1" s="15" t="s">
        <v>0</v>
      </c>
      <c r="B1" s="15"/>
      <c r="C1" s="15"/>
      <c r="D1" s="15"/>
      <c r="E1" s="15"/>
      <c r="F1" s="2"/>
      <c r="G1" s="2"/>
      <c r="H1" s="2"/>
      <c r="I1" s="14"/>
      <c r="J1" s="10"/>
      <c r="K1" s="2"/>
      <c r="L1" s="2"/>
      <c r="M1" s="2"/>
      <c r="N1" s="2"/>
    </row>
    <row r="2" spans="1:14" x14ac:dyDescent="0.3">
      <c r="A2" s="2"/>
      <c r="B2" s="7"/>
      <c r="C2" s="7"/>
      <c r="D2" s="2"/>
      <c r="E2" s="10"/>
      <c r="F2" s="2"/>
      <c r="G2" s="2"/>
      <c r="H2" s="2"/>
      <c r="I2" s="14"/>
      <c r="J2" s="10"/>
      <c r="K2" s="2"/>
      <c r="L2" s="2"/>
      <c r="M2" s="2"/>
      <c r="N2" s="2"/>
    </row>
    <row r="3" spans="1:14" x14ac:dyDescent="0.3">
      <c r="A3" s="4" t="s">
        <v>1</v>
      </c>
      <c r="B3" s="6" t="s">
        <v>2</v>
      </c>
      <c r="C3" s="6" t="s">
        <v>3</v>
      </c>
      <c r="D3" s="4" t="s">
        <v>4</v>
      </c>
      <c r="E3" s="9" t="s">
        <v>21</v>
      </c>
      <c r="F3" s="5" t="s">
        <v>22</v>
      </c>
      <c r="G3" s="5" t="s">
        <v>23</v>
      </c>
      <c r="H3" s="5" t="s">
        <v>24</v>
      </c>
      <c r="I3" s="13" t="s">
        <v>25</v>
      </c>
      <c r="J3" s="9" t="s">
        <v>26</v>
      </c>
      <c r="K3" s="4" t="s">
        <v>27</v>
      </c>
      <c r="L3" s="2"/>
      <c r="M3" s="2"/>
      <c r="N3" s="2"/>
    </row>
    <row r="4" spans="1:14" x14ac:dyDescent="0.3">
      <c r="A4" s="2" t="s">
        <v>5</v>
      </c>
      <c r="B4" s="7">
        <v>45292</v>
      </c>
      <c r="C4" s="7">
        <v>46174</v>
      </c>
      <c r="D4" s="2" t="s">
        <v>6</v>
      </c>
      <c r="E4" s="10">
        <f t="shared" ref="E4:E13" si="0">DATEDIF(B4,C4,"Y")</f>
        <v>2</v>
      </c>
      <c r="F4" s="2">
        <f t="shared" ref="F4:F13" si="1">DATEDIF(B4,C4, "M")</f>
        <v>29</v>
      </c>
      <c r="G4" s="2">
        <f t="shared" ref="G4:G13" si="2">DATEDIF(B4,C4, "D")</f>
        <v>882</v>
      </c>
      <c r="H4" s="2">
        <f t="shared" ref="H4:H13" si="3">NETWORKDAYS(B4,C4)</f>
        <v>631</v>
      </c>
      <c r="I4" s="14">
        <f>EDATE(C4,6)</f>
        <v>46357</v>
      </c>
      <c r="J4" s="10" t="str">
        <f t="shared" ref="J4:J13" si="4">CHOOSE(WEEKDAY(B4,2), "Lunes", "Martes", "Miercoles", "Jueves", "Viernes", "Sabado", "Domingo")</f>
        <v>Lunes</v>
      </c>
      <c r="K4" s="3">
        <f t="shared" ref="K4:K13" ca="1" si="5">TODAY()</f>
        <v>46199</v>
      </c>
      <c r="L4" s="2"/>
      <c r="M4" s="2"/>
      <c r="N4" s="2"/>
    </row>
    <row r="5" spans="1:14" x14ac:dyDescent="0.3">
      <c r="A5" s="2" t="s">
        <v>7</v>
      </c>
      <c r="B5" s="7">
        <v>45000</v>
      </c>
      <c r="C5" s="7">
        <v>46096</v>
      </c>
      <c r="D5" s="2" t="s">
        <v>8</v>
      </c>
      <c r="E5" s="10">
        <f t="shared" si="0"/>
        <v>3</v>
      </c>
      <c r="F5" s="2">
        <f t="shared" si="1"/>
        <v>36</v>
      </c>
      <c r="G5" s="2">
        <f t="shared" si="2"/>
        <v>1096</v>
      </c>
      <c r="H5" s="2">
        <f t="shared" si="3"/>
        <v>783</v>
      </c>
      <c r="I5" s="14">
        <f t="shared" ref="I5:I13" si="6">EDATE(C5,6)</f>
        <v>46280</v>
      </c>
      <c r="J5" s="10" t="str">
        <f t="shared" si="4"/>
        <v>Miercoles</v>
      </c>
      <c r="K5" s="3">
        <f t="shared" ca="1" si="5"/>
        <v>46199</v>
      </c>
      <c r="L5" s="2"/>
      <c r="M5" s="2"/>
      <c r="N5" s="2"/>
    </row>
    <row r="6" spans="1:14" x14ac:dyDescent="0.3">
      <c r="A6" s="2" t="s">
        <v>9</v>
      </c>
      <c r="B6" s="7">
        <v>44722</v>
      </c>
      <c r="C6" s="7">
        <v>46032</v>
      </c>
      <c r="D6" s="2" t="s">
        <v>10</v>
      </c>
      <c r="E6" s="10">
        <f t="shared" si="0"/>
        <v>3</v>
      </c>
      <c r="F6" s="2">
        <f t="shared" si="1"/>
        <v>43</v>
      </c>
      <c r="G6" s="2">
        <f t="shared" si="2"/>
        <v>1310</v>
      </c>
      <c r="H6" s="2">
        <f t="shared" si="3"/>
        <v>936</v>
      </c>
      <c r="I6" s="14">
        <f t="shared" si="6"/>
        <v>46213</v>
      </c>
      <c r="J6" s="10" t="str">
        <f t="shared" si="4"/>
        <v>Viernes</v>
      </c>
      <c r="K6" s="3">
        <f t="shared" ca="1" si="5"/>
        <v>46199</v>
      </c>
      <c r="L6" s="2"/>
      <c r="M6" s="2"/>
      <c r="N6" s="2"/>
    </row>
    <row r="7" spans="1:14" x14ac:dyDescent="0.3">
      <c r="A7" s="2" t="s">
        <v>11</v>
      </c>
      <c r="B7" s="7">
        <v>44459</v>
      </c>
      <c r="C7" s="7">
        <v>45920</v>
      </c>
      <c r="D7" s="2" t="s">
        <v>12</v>
      </c>
      <c r="E7" s="10">
        <f t="shared" si="0"/>
        <v>4</v>
      </c>
      <c r="F7" s="2">
        <f t="shared" si="1"/>
        <v>48</v>
      </c>
      <c r="G7" s="2">
        <f t="shared" si="2"/>
        <v>1461</v>
      </c>
      <c r="H7" s="2">
        <f t="shared" si="3"/>
        <v>1045</v>
      </c>
      <c r="I7" s="14">
        <f t="shared" si="6"/>
        <v>46101</v>
      </c>
      <c r="J7" s="10" t="str">
        <f t="shared" si="4"/>
        <v>Lunes</v>
      </c>
      <c r="K7" s="3">
        <f t="shared" ca="1" si="5"/>
        <v>46199</v>
      </c>
      <c r="L7" s="2"/>
      <c r="M7" s="2"/>
      <c r="N7" s="2"/>
    </row>
    <row r="8" spans="1:14" x14ac:dyDescent="0.3">
      <c r="A8" s="2" t="s">
        <v>13</v>
      </c>
      <c r="B8" s="7">
        <v>44170</v>
      </c>
      <c r="C8" s="7">
        <v>46178</v>
      </c>
      <c r="D8" s="2" t="s">
        <v>14</v>
      </c>
      <c r="E8" s="10">
        <f t="shared" si="0"/>
        <v>5</v>
      </c>
      <c r="F8" s="2">
        <f t="shared" si="1"/>
        <v>66</v>
      </c>
      <c r="G8" s="2">
        <f t="shared" si="2"/>
        <v>2008</v>
      </c>
      <c r="H8" s="2">
        <f t="shared" si="3"/>
        <v>1435</v>
      </c>
      <c r="I8" s="14">
        <f t="shared" si="6"/>
        <v>46361</v>
      </c>
      <c r="J8" s="10" t="str">
        <f t="shared" si="4"/>
        <v>Sabado</v>
      </c>
      <c r="K8" s="3">
        <f t="shared" ca="1" si="5"/>
        <v>46199</v>
      </c>
      <c r="L8" s="2"/>
      <c r="M8" s="2"/>
      <c r="N8" s="2"/>
    </row>
    <row r="9" spans="1:14" x14ac:dyDescent="0.3">
      <c r="A9" s="2" t="s">
        <v>15</v>
      </c>
      <c r="B9" s="7">
        <v>45034</v>
      </c>
      <c r="C9" s="7">
        <v>46130</v>
      </c>
      <c r="D9" s="2" t="s">
        <v>6</v>
      </c>
      <c r="E9" s="10">
        <f t="shared" si="0"/>
        <v>3</v>
      </c>
      <c r="F9" s="2">
        <f t="shared" si="1"/>
        <v>36</v>
      </c>
      <c r="G9" s="2">
        <f t="shared" si="2"/>
        <v>1096</v>
      </c>
      <c r="H9" s="2">
        <f t="shared" si="3"/>
        <v>784</v>
      </c>
      <c r="I9" s="14">
        <f t="shared" si="6"/>
        <v>46313</v>
      </c>
      <c r="J9" s="10" t="str">
        <f t="shared" si="4"/>
        <v>Martes</v>
      </c>
      <c r="K9" s="3">
        <f t="shared" ca="1" si="5"/>
        <v>46199</v>
      </c>
      <c r="L9" s="2"/>
      <c r="M9" s="2"/>
      <c r="N9" s="2"/>
    </row>
    <row r="10" spans="1:14" x14ac:dyDescent="0.3">
      <c r="A10" s="2" t="s">
        <v>16</v>
      </c>
      <c r="B10" s="7">
        <v>43668</v>
      </c>
      <c r="C10" s="7">
        <v>45860</v>
      </c>
      <c r="D10" s="2" t="s">
        <v>8</v>
      </c>
      <c r="E10" s="10">
        <f t="shared" si="0"/>
        <v>6</v>
      </c>
      <c r="F10" s="2">
        <f t="shared" si="1"/>
        <v>72</v>
      </c>
      <c r="G10" s="2">
        <f t="shared" si="2"/>
        <v>2192</v>
      </c>
      <c r="H10" s="2">
        <f t="shared" si="3"/>
        <v>1567</v>
      </c>
      <c r="I10" s="14">
        <f t="shared" si="6"/>
        <v>46044</v>
      </c>
      <c r="J10" s="10" t="str">
        <f t="shared" si="4"/>
        <v>Lunes</v>
      </c>
      <c r="K10" s="3">
        <f t="shared" ca="1" si="5"/>
        <v>46199</v>
      </c>
      <c r="L10" s="2"/>
      <c r="M10" s="2"/>
      <c r="N10" s="2"/>
    </row>
    <row r="11" spans="1:14" x14ac:dyDescent="0.3">
      <c r="A11" s="2" t="s">
        <v>17</v>
      </c>
      <c r="B11" s="7">
        <v>45626</v>
      </c>
      <c r="C11" s="7">
        <v>46172</v>
      </c>
      <c r="D11" s="2" t="s">
        <v>10</v>
      </c>
      <c r="E11" s="10">
        <f t="shared" si="0"/>
        <v>1</v>
      </c>
      <c r="F11" s="2">
        <f t="shared" si="1"/>
        <v>18</v>
      </c>
      <c r="G11" s="2">
        <f t="shared" si="2"/>
        <v>546</v>
      </c>
      <c r="H11" s="2">
        <f t="shared" si="3"/>
        <v>390</v>
      </c>
      <c r="I11" s="14">
        <f t="shared" si="6"/>
        <v>46356</v>
      </c>
      <c r="J11" s="10" t="str">
        <f t="shared" si="4"/>
        <v>Sabado</v>
      </c>
      <c r="K11" s="3">
        <f t="shared" ca="1" si="5"/>
        <v>46199</v>
      </c>
      <c r="L11" s="2"/>
      <c r="M11" s="2"/>
      <c r="N11" s="2"/>
    </row>
    <row r="12" spans="1:14" x14ac:dyDescent="0.3">
      <c r="A12" s="2" t="s">
        <v>18</v>
      </c>
      <c r="B12" s="7">
        <v>44606</v>
      </c>
      <c r="C12" s="7">
        <v>46067</v>
      </c>
      <c r="D12" s="2" t="s">
        <v>19</v>
      </c>
      <c r="E12" s="10">
        <f t="shared" si="0"/>
        <v>4</v>
      </c>
      <c r="F12" s="2">
        <f t="shared" si="1"/>
        <v>48</v>
      </c>
      <c r="G12" s="2">
        <f t="shared" si="2"/>
        <v>1461</v>
      </c>
      <c r="H12" s="2">
        <f t="shared" si="3"/>
        <v>1045</v>
      </c>
      <c r="I12" s="14">
        <f t="shared" si="6"/>
        <v>46248</v>
      </c>
      <c r="J12" s="10" t="str">
        <f t="shared" si="4"/>
        <v>Lunes</v>
      </c>
      <c r="K12" s="3">
        <f t="shared" ca="1" si="5"/>
        <v>46199</v>
      </c>
      <c r="L12" s="2"/>
      <c r="M12" s="2"/>
      <c r="N12" s="2"/>
    </row>
    <row r="13" spans="1:14" x14ac:dyDescent="0.3">
      <c r="A13" s="2" t="s">
        <v>20</v>
      </c>
      <c r="B13" s="7">
        <v>45146</v>
      </c>
      <c r="C13" s="7">
        <v>46242</v>
      </c>
      <c r="D13" s="2" t="s">
        <v>14</v>
      </c>
      <c r="E13" s="10">
        <f t="shared" si="0"/>
        <v>3</v>
      </c>
      <c r="F13" s="2">
        <f t="shared" si="1"/>
        <v>36</v>
      </c>
      <c r="G13" s="2">
        <f t="shared" si="2"/>
        <v>1096</v>
      </c>
      <c r="H13" s="2">
        <f t="shared" si="3"/>
        <v>784</v>
      </c>
      <c r="I13" s="14">
        <f t="shared" si="6"/>
        <v>46426</v>
      </c>
      <c r="J13" s="10" t="str">
        <f t="shared" si="4"/>
        <v>Martes</v>
      </c>
      <c r="K13" s="3">
        <f t="shared" ca="1" si="5"/>
        <v>46199</v>
      </c>
      <c r="L13" s="2"/>
      <c r="M13" s="2"/>
      <c r="N13" s="2"/>
    </row>
    <row r="14" spans="1:14" x14ac:dyDescent="0.3">
      <c r="A14" s="2"/>
      <c r="B14" s="7"/>
      <c r="C14" s="7"/>
      <c r="D14" s="2"/>
      <c r="E14" s="10"/>
      <c r="F14" s="2"/>
      <c r="G14" s="2"/>
      <c r="H14" s="2"/>
      <c r="I14" s="14"/>
      <c r="J14" s="10"/>
      <c r="K14" s="2"/>
      <c r="L14" s="2"/>
      <c r="M14" s="2"/>
      <c r="N14" s="2"/>
    </row>
    <row r="15" spans="1:14" x14ac:dyDescent="0.3">
      <c r="A15" s="2"/>
      <c r="B15" s="7"/>
      <c r="C15" s="7"/>
      <c r="D15" s="2"/>
      <c r="E15" s="10"/>
      <c r="F15" s="2"/>
      <c r="G15" s="2"/>
      <c r="H15" s="2"/>
      <c r="I15" s="14"/>
      <c r="J15" s="10"/>
      <c r="K15" s="2"/>
      <c r="L15" s="2"/>
      <c r="M15" s="2"/>
      <c r="N15" s="2"/>
    </row>
    <row r="16" spans="1:14" x14ac:dyDescent="0.3">
      <c r="A16" s="2"/>
      <c r="B16" s="7"/>
      <c r="C16" s="7"/>
      <c r="D16" s="2"/>
      <c r="E16" s="10">
        <f>DATEDIF(B4,C4, "Y")</f>
        <v>2</v>
      </c>
      <c r="F16" s="2">
        <f>DATEDIF(B4,C4, "M")</f>
        <v>29</v>
      </c>
      <c r="G16" s="2">
        <f>DATEDIF(B4,C4, "D")</f>
        <v>882</v>
      </c>
      <c r="H16" s="2">
        <f>NETWORKDAYS(B4,C4)</f>
        <v>631</v>
      </c>
      <c r="I16" s="14">
        <f>EDATE(C4, -3)</f>
        <v>46082</v>
      </c>
      <c r="J16" s="10">
        <f>WEEKDAY(B4,2)</f>
        <v>1</v>
      </c>
      <c r="K16" s="3">
        <f ca="1">TODAY()</f>
        <v>46199</v>
      </c>
      <c r="L16" s="2"/>
      <c r="M16" s="2"/>
      <c r="N16" s="2"/>
    </row>
    <row r="17" spans="1:11" x14ac:dyDescent="0.3">
      <c r="A17" s="2"/>
      <c r="B17" s="7"/>
      <c r="C17" s="7"/>
      <c r="D17" s="2"/>
      <c r="E17" s="10">
        <f>DATEDIF(B4,C4, "Y")</f>
        <v>2</v>
      </c>
      <c r="F17" s="2">
        <f>DATEDIF(B4,C4, "M")</f>
        <v>29</v>
      </c>
      <c r="G17" s="2">
        <f>DATEDIF(B4,C4, "D")</f>
        <v>882</v>
      </c>
      <c r="H17" s="2">
        <f>NETWORKDAYS(B4,C4)</f>
        <v>631</v>
      </c>
      <c r="I17" s="12">
        <f>EDATE(C4,6)</f>
        <v>46357</v>
      </c>
    </row>
    <row r="18" spans="1:11" x14ac:dyDescent="0.3">
      <c r="A18" s="2"/>
      <c r="B18" s="7"/>
      <c r="C18" s="7"/>
      <c r="D18" s="2"/>
      <c r="F18" s="2"/>
      <c r="G18" s="2"/>
      <c r="H18" s="2"/>
      <c r="K18" s="1">
        <f ca="1">TODAY()</f>
        <v>46199</v>
      </c>
    </row>
    <row r="19" spans="1:11" x14ac:dyDescent="0.3">
      <c r="F19" s="2"/>
      <c r="H19" s="1"/>
    </row>
  </sheetData>
  <mergeCells count="1">
    <mergeCell ref="A1:E1"/>
  </mergeCells>
  <conditionalFormatting sqref="I4:I13">
    <cfRule type="expression" dxfId="1" priority="1">
      <formula>I4&gt;=TODAY()</formula>
    </cfRule>
    <cfRule type="expression" dxfId="0" priority="2">
      <formula>I4&lt;TODAY()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2026-06-26T01:54:36Z</dcterms:created>
  <dcterms:modified xsi:type="dcterms:W3CDTF">2026-06-26T15:33:37Z</dcterms:modified>
</cp:coreProperties>
</file>