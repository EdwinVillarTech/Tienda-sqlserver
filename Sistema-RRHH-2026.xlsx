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1" documentId="8_{6372EE84-58DF-4DAD-9021-36C423B27DBB}" xr6:coauthVersionLast="47" xr6:coauthVersionMax="47" xr10:uidLastSave="{B640BEA8-2C56-4921-BC89-663354CDCF27}"/>
  <bookViews>
    <workbookView xWindow="0" yWindow="0" windowWidth="11760" windowHeight="12240" firstSheet="3" activeTab="3" xr2:uid="{A5EDE06E-7574-4FAF-8151-D165ADA9B625}"/>
  </bookViews>
  <sheets>
    <sheet name="Filtros Avanzado " sheetId="1" r:id="rId1"/>
    <sheet name="Dashboard RRHH_x0009_" sheetId="2" r:id="rId2"/>
    <sheet name="Filtros Avanzado 2 " sheetId="3" r:id="rId3"/>
    <sheet name="Dashboard Ventas" sheetId="4" r:id="rId4"/>
  </sheets>
  <definedNames>
    <definedName name="_xlnm._FilterDatabase" localSheetId="0" hidden="1">'Filtros Avanzado '!$A$7:$G$22</definedName>
    <definedName name="_xlnm._FilterDatabase" localSheetId="2" hidden="1">'Filtros Avanzado 2 '!$A$4:$H$20</definedName>
    <definedName name="_xlnm.Criteria" localSheetId="2">'Filtros Avanzado 2 '!$A$17:$B$18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3" l="1"/>
  <c r="E20" i="3"/>
  <c r="E19" i="3"/>
  <c r="D20" i="3"/>
  <c r="D21" i="3"/>
  <c r="D19" i="3"/>
  <c r="C20" i="3"/>
  <c r="C21" i="3"/>
  <c r="C19" i="3"/>
  <c r="B19" i="3"/>
  <c r="B21" i="3"/>
  <c r="B20" i="3"/>
  <c r="C31" i="1"/>
  <c r="C32" i="1"/>
  <c r="C33" i="1"/>
  <c r="C30" i="1"/>
  <c r="B31" i="1"/>
  <c r="B32" i="1"/>
  <c r="B33" i="1"/>
  <c r="B30" i="1"/>
  <c r="E31" i="1"/>
  <c r="E32" i="1"/>
  <c r="E33" i="1"/>
  <c r="E30" i="1"/>
  <c r="D31" i="1"/>
  <c r="D32" i="1"/>
  <c r="D33" i="1"/>
  <c r="D30" i="1"/>
</calcChain>
</file>

<file path=xl/sharedStrings.xml><?xml version="1.0" encoding="utf-8"?>
<sst xmlns="http://schemas.openxmlformats.org/spreadsheetml/2006/main" count="157" uniqueCount="81">
  <si>
    <t>Sistema-RRHH-2026</t>
  </si>
  <si>
    <t>Base de Datos de Recursos Humanos - 2026</t>
  </si>
  <si>
    <t>A</t>
  </si>
  <si>
    <t>B</t>
  </si>
  <si>
    <t>C</t>
  </si>
  <si>
    <t>D</t>
  </si>
  <si>
    <t>E</t>
  </si>
  <si>
    <t>F</t>
  </si>
  <si>
    <t>G</t>
  </si>
  <si>
    <t>ID</t>
  </si>
  <si>
    <t>Empleado</t>
  </si>
  <si>
    <t>Departamento</t>
  </si>
  <si>
    <t>Cargo</t>
  </si>
  <si>
    <t>Salario</t>
  </si>
  <si>
    <t>Años Experiencia</t>
  </si>
  <si>
    <t>Estado</t>
  </si>
  <si>
    <t>Lucia Perez</t>
  </si>
  <si>
    <t>Miguel Torres</t>
  </si>
  <si>
    <t>Gabriela Reyes</t>
  </si>
  <si>
    <t>Fernando Castro</t>
  </si>
  <si>
    <t>Valentina Ruiz</t>
  </si>
  <si>
    <t xml:space="preserve">Diego Morales </t>
  </si>
  <si>
    <t xml:space="preserve">Camila Vargas </t>
  </si>
  <si>
    <t>Andres Mendoza</t>
  </si>
  <si>
    <t>Natalia Flores</t>
  </si>
  <si>
    <t>Carlos Jimenez</t>
  </si>
  <si>
    <t>Sofia Herrera</t>
  </si>
  <si>
    <t>Ricardo Guzman</t>
  </si>
  <si>
    <t>Daniela Cruz</t>
  </si>
  <si>
    <t>Pablo Ramirez</t>
  </si>
  <si>
    <t>Ventas</t>
  </si>
  <si>
    <t>Marketing</t>
  </si>
  <si>
    <t>Contabilidad</t>
  </si>
  <si>
    <t>Desarrollador</t>
  </si>
  <si>
    <t>Vendedor</t>
  </si>
  <si>
    <t>Diseñador</t>
  </si>
  <si>
    <t>Analista</t>
  </si>
  <si>
    <t>Contador</t>
  </si>
  <si>
    <t>Community Manager</t>
  </si>
  <si>
    <t>Auditor</t>
  </si>
  <si>
    <t>Supervisor</t>
  </si>
  <si>
    <t>Inactivo</t>
  </si>
  <si>
    <t>Activo</t>
  </si>
  <si>
    <t>Análisis de Salarios por Departamento - 2026</t>
  </si>
  <si>
    <t>Total Salarios</t>
  </si>
  <si>
    <t>Promedio</t>
  </si>
  <si>
    <t>Salario Mas Bajo</t>
  </si>
  <si>
    <t>Salario Mas Alto</t>
  </si>
  <si>
    <t>Informatico</t>
  </si>
  <si>
    <t>Base de Datos de Ventas 2026</t>
  </si>
  <si>
    <t xml:space="preserve">ID </t>
  </si>
  <si>
    <t>Fecha</t>
  </si>
  <si>
    <t xml:space="preserve">Vendedor </t>
  </si>
  <si>
    <t>Ciudad</t>
  </si>
  <si>
    <t>Producto</t>
  </si>
  <si>
    <t>Categoria</t>
  </si>
  <si>
    <t>Cantidad</t>
  </si>
  <si>
    <t>Precio</t>
  </si>
  <si>
    <t>Ana</t>
  </si>
  <si>
    <t>Luis</t>
  </si>
  <si>
    <t>Pedro</t>
  </si>
  <si>
    <t>Santo Domingo</t>
  </si>
  <si>
    <t>Santiago</t>
  </si>
  <si>
    <t>La vega</t>
  </si>
  <si>
    <t>Bonao</t>
  </si>
  <si>
    <t>Laptop</t>
  </si>
  <si>
    <t>Mouse</t>
  </si>
  <si>
    <t>Escritorio</t>
  </si>
  <si>
    <t>Silla</t>
  </si>
  <si>
    <t>Monitor</t>
  </si>
  <si>
    <t>Impresora</t>
  </si>
  <si>
    <t>Tecnologia</t>
  </si>
  <si>
    <t>Muebles</t>
  </si>
  <si>
    <t>Sum</t>
  </si>
  <si>
    <t>Average</t>
  </si>
  <si>
    <t>Running Total</t>
  </si>
  <si>
    <t>Count</t>
  </si>
  <si>
    <t>Total Ventas</t>
  </si>
  <si>
    <t>Promedio Venta</t>
  </si>
  <si>
    <t xml:space="preserve">Venta Mayor </t>
  </si>
  <si>
    <t xml:space="preserve">Venta Menor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</si>
</sst>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dd/mm/yyyy;@"/>
    <numFmt numFmtId="173" formatCode="_-[$$-2C0A]\ * #,##0.0_-;\-[$$-2C0A]\ * #,##0.0_-;_-[$$-2C0A]\ * &quot;-&quot;??_-;_-@_-"/>
    <numFmt numFmtId="174" formatCode="_-[$$-2C0A]\ * #,##0_-;\-[$$-2C0A]\ * #,##0_-;_-[$$-2C0A]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/>
    <xf numFmtId="0" fontId="0" fillId="0" borderId="1" xfId="0" applyBorder="1" applyAlignment="1">
      <alignment horizontal="left"/>
    </xf>
    <xf numFmtId="43" fontId="0" fillId="0" borderId="0" xfId="1" applyFont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43" fontId="0" fillId="4" borderId="1" xfId="1" applyFont="1" applyFill="1" applyBorder="1" applyAlignment="1">
      <alignment horizontal="right" vertical="center"/>
    </xf>
    <xf numFmtId="43" fontId="0" fillId="0" borderId="1" xfId="1" applyFont="1" applyBorder="1"/>
    <xf numFmtId="0" fontId="5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 applyAlignme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/>
    <xf numFmtId="0" fontId="0" fillId="0" borderId="0" xfId="0" applyAlignment="1"/>
    <xf numFmtId="0" fontId="7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1" fillId="0" borderId="1" xfId="0" applyFont="1" applyBorder="1" applyAlignment="1"/>
    <xf numFmtId="173" fontId="0" fillId="0" borderId="1" xfId="1" applyNumberFormat="1" applyFont="1" applyBorder="1" applyAlignment="1">
      <alignment horizontal="center" vertical="center"/>
    </xf>
    <xf numFmtId="174" fontId="0" fillId="0" borderId="1" xfId="1" applyNumberFormat="1" applyFont="1" applyBorder="1" applyAlignment="1"/>
    <xf numFmtId="17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Salarios por Departamento - </a:t>
            </a:r>
          </a:p>
          <a:p>
            <a:pPr>
              <a:defRPr/>
            </a:pPr>
            <a:r>
              <a:rPr lang="en-US"/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'Filtros Avanzado '!$B$28:$B$29</c:f>
              <c:strCache>
                <c:ptCount val="2"/>
                <c:pt idx="0">
                  <c:v>B</c:v>
                </c:pt>
                <c:pt idx="1">
                  <c:v>Total Salarios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'Filtros Avanzado '!$A$30:$A$33</c:f>
              <c:strCache>
                <c:ptCount val="4"/>
                <c:pt idx="0">
                  <c:v>Marketing</c:v>
                </c:pt>
                <c:pt idx="1">
                  <c:v>Ventas</c:v>
                </c:pt>
                <c:pt idx="2">
                  <c:v>Informatico</c:v>
                </c:pt>
                <c:pt idx="3">
                  <c:v>Contabilidad</c:v>
                </c:pt>
              </c:strCache>
            </c:strRef>
          </c:cat>
          <c:val>
            <c:numRef>
              <c:f>'Filtros Avanzado '!$B$30:$B$33</c:f>
              <c:numCache>
                <c:formatCode>General</c:formatCode>
                <c:ptCount val="4"/>
                <c:pt idx="0">
                  <c:v>131000</c:v>
                </c:pt>
                <c:pt idx="1">
                  <c:v>115000</c:v>
                </c:pt>
                <c:pt idx="2">
                  <c:v>320000</c:v>
                </c:pt>
                <c:pt idx="3">
                  <c:v>129000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B-48D2-8256-ED18C5C0A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1737983"/>
        <c:axId val="1391735103"/>
      </c:barChart>
      <c:catAx>
        <c:axId val="1391737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35103"/>
        <c:crosses val="autoZero"/>
        <c:auto val="1"/>
        <c:lblAlgn val="ctr"/>
        <c:lblOffset val="100"/>
        <c:noMultiLvlLbl val="0"/>
      </c:catAx>
      <c:valAx>
        <c:axId val="139173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3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de Salarios por Departamento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'Filtros Avanzado '!$C$28:$C$29</c:f>
              <c:strCache>
                <c:ptCount val="2"/>
                <c:pt idx="0">
                  <c:v>C</c:v>
                </c:pt>
                <c:pt idx="1">
                  <c:v>Promedio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'Filtros Avanzado '!$A$30:$A$33</c:f>
              <c:strCache>
                <c:ptCount val="4"/>
                <c:pt idx="0">
                  <c:v>Marketing</c:v>
                </c:pt>
                <c:pt idx="1">
                  <c:v>Ventas</c:v>
                </c:pt>
                <c:pt idx="2">
                  <c:v>Informatico</c:v>
                </c:pt>
                <c:pt idx="3">
                  <c:v>Contabilidad</c:v>
                </c:pt>
              </c:strCache>
            </c:strRef>
          </c:cat>
          <c:val>
            <c:numRef>
              <c:f>'Filtros Avanzado '!$C$30:$C$33</c:f>
              <c:numCache>
                <c:formatCode>General</c:formatCode>
                <c:ptCount val="4"/>
                <c:pt idx="0">
                  <c:v>32750</c:v>
                </c:pt>
                <c:pt idx="1">
                  <c:v>38333.333333333336</c:v>
                </c:pt>
                <c:pt idx="2">
                  <c:v>64000</c:v>
                </c:pt>
                <c:pt idx="3">
                  <c:v>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4-449A-9322-67E054603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765343"/>
        <c:axId val="1391749023"/>
      </c:barChart>
      <c:catAx>
        <c:axId val="139176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49023"/>
        <c:crosses val="autoZero"/>
        <c:auto val="1"/>
        <c:lblAlgn val="ctr"/>
        <c:lblOffset val="100"/>
        <c:noMultiLvlLbl val="0"/>
      </c:catAx>
      <c:valAx>
        <c:axId val="139174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6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Salario Más Alto por Departamento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'Filtros Avanzado '!$D$28:$D$29</c:f>
              <c:strCache>
                <c:ptCount val="2"/>
                <c:pt idx="0">
                  <c:v>D</c:v>
                </c:pt>
                <c:pt idx="1">
                  <c:v>Salario Mas Alto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EA-4234-809D-3F73E1A3CF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EA-4234-809D-3F73E1A3CF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EA-4234-809D-3F73E1A3CF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EA-4234-809D-3F73E1A3CF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'Filtros Avanzado '!$A$30:$A$33</c:f>
              <c:strCache>
                <c:ptCount val="4"/>
                <c:pt idx="0">
                  <c:v>Marketing</c:v>
                </c:pt>
                <c:pt idx="1">
                  <c:v>Ventas</c:v>
                </c:pt>
                <c:pt idx="2">
                  <c:v>Informatico</c:v>
                </c:pt>
                <c:pt idx="3">
                  <c:v>Contabilidad</c:v>
                </c:pt>
              </c:strCache>
            </c:strRef>
          </c:cat>
          <c:val>
            <c:numRef>
              <c:f>'Filtros Avanzado '!$D$30:$D$33</c:f>
              <c:numCache>
                <c:formatCode>General</c:formatCode>
                <c:ptCount val="4"/>
                <c:pt idx="0">
                  <c:v>38000</c:v>
                </c:pt>
                <c:pt idx="1">
                  <c:v>48000</c:v>
                </c:pt>
                <c:pt idx="2">
                  <c:v>72000</c:v>
                </c:pt>
                <c:pt idx="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EA-4234-809D-3F73E1A3C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Salario Más Bajo por Departamento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'Filtros Avanzado '!$E$28:$E$29</c:f>
              <c:strCache>
                <c:ptCount val="2"/>
                <c:pt idx="0">
                  <c:v>E</c:v>
                </c:pt>
                <c:pt idx="1">
                  <c:v>Salario Mas Bajo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'Filtros Avanzado '!$A$30:$A$33</c:f>
              <c:strCache>
                <c:ptCount val="4"/>
                <c:pt idx="0">
                  <c:v>Marketing</c:v>
                </c:pt>
                <c:pt idx="1">
                  <c:v>Ventas</c:v>
                </c:pt>
                <c:pt idx="2">
                  <c:v>Informatico</c:v>
                </c:pt>
                <c:pt idx="3">
                  <c:v>Contabilidad</c:v>
                </c:pt>
              </c:strCache>
            </c:strRef>
          </c:cat>
          <c:val>
            <c:numRef>
              <c:f>'Filtros Avanzado '!$E$30:$E$33</c:f>
              <c:numCache>
                <c:formatCode>General</c:formatCode>
                <c:ptCount val="4"/>
                <c:pt idx="0">
                  <c:v>29000</c:v>
                </c:pt>
                <c:pt idx="1">
                  <c:v>32000</c:v>
                </c:pt>
                <c:pt idx="2">
                  <c:v>58000</c:v>
                </c:pt>
                <c:pt idx="3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2-4483-A86E-024C67721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1731743"/>
        <c:axId val="1391715423"/>
      </c:barChart>
      <c:catAx>
        <c:axId val="139173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15423"/>
        <c:crosses val="autoZero"/>
        <c:auto val="1"/>
        <c:lblAlgn val="ctr"/>
        <c:lblOffset val="100"/>
        <c:noMultiLvlLbl val="0"/>
      </c:catAx>
      <c:valAx>
        <c:axId val="139171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3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Totales</a:t>
            </a:r>
            <a:r>
              <a:rPr lang="en-US" baseline="0"/>
              <a:t> Por Vendedor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'Filtros Avanzado 2 '!$B$18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'Filtros Avanzado 2 '!$A$19:$A$21</c:f>
              <c:strCache>
                <c:ptCount val="3"/>
                <c:pt idx="0">
                  <c:v>Ana</c:v>
                </c:pt>
                <c:pt idx="1">
                  <c:v>Luis</c:v>
                </c:pt>
                <c:pt idx="2">
                  <c:v>Pedro</c:v>
                </c:pt>
              </c:strCache>
            </c:strRef>
          </c:cat>
          <c:val>
            <c:numRef>
              <c:f>'Filtros Avanzado 2 '!$B$19:$B$21</c:f>
              <c:numCache>
                <c:formatCode>_-[$$-2C0A]\ * #,##0_-;\-[$$-2C0A]\ * #,##0_-;_-[$$-2C0A]\ * "-"??_-;_-@_-</c:formatCode>
                <c:ptCount val="3"/>
                <c:pt idx="0">
                  <c:v>102000</c:v>
                </c:pt>
                <c:pt idx="1">
                  <c:v>13800</c:v>
                </c:pt>
                <c:pt idx="2">
                  <c:v>47400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A-4569-B099-728B39776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1445088"/>
        <c:axId val="1771445568"/>
      </c:barChart>
      <c:catAx>
        <c:axId val="1771445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45568"/>
        <c:crosses val="autoZero"/>
        <c:auto val="1"/>
        <c:lblAlgn val="ctr"/>
        <c:lblOffset val="100"/>
        <c:noMultiLvlLbl val="0"/>
      </c:catAx>
      <c:valAx>
        <c:axId val="177144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4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Promedio Por 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'Filtros Avanzado 2 '!$C$18</c:f>
              <c:strCache>
                <c:ptCount val="1"/>
                <c:pt idx="0">
                  <c:v>Promedio Venta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'Filtros Avanzado 2 '!$A$19:$A$21</c:f>
              <c:strCache>
                <c:ptCount val="3"/>
                <c:pt idx="0">
                  <c:v>Ana</c:v>
                </c:pt>
                <c:pt idx="1">
                  <c:v>Luis</c:v>
                </c:pt>
                <c:pt idx="2">
                  <c:v>Pedro</c:v>
                </c:pt>
              </c:strCache>
            </c:strRef>
          </c:cat>
          <c:val>
            <c:numRef>
              <c:f>'Filtros Avanzado 2 '!$C$19:$C$21</c:f>
              <c:numCache>
                <c:formatCode>_-[$$-2C0A]\ * #,##0_-;\-[$$-2C0A]\ * #,##0_-;_-[$$-2C0A]\ * "-"??_-;_-@_-</c:formatCode>
                <c:ptCount val="3"/>
                <c:pt idx="0">
                  <c:v>25500</c:v>
                </c:pt>
                <c:pt idx="1">
                  <c:v>4600</c:v>
                </c:pt>
                <c:pt idx="2">
                  <c:v>15800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1-4A78-A328-ADE46C588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446048"/>
        <c:axId val="1771443168"/>
      </c:barChart>
      <c:catAx>
        <c:axId val="177144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43168"/>
        <c:crosses val="autoZero"/>
        <c:auto val="1"/>
        <c:lblAlgn val="ctr"/>
        <c:lblOffset val="100"/>
        <c:noMultiLvlLbl val="0"/>
      </c:catAx>
      <c:valAx>
        <c:axId val="177144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4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Mayor Venta Registrada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'Filtros Avanzado 2 '!$D$18</c:f>
              <c:strCache>
                <c:ptCount val="1"/>
                <c:pt idx="0">
                  <c:v>Venta Mayor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58-49DC-98DC-765DD56159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58-49DC-98DC-765DD56159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58-49DC-98DC-765DD56159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'Filtros Avanzado 2 '!$A$19:$A$21</c:f>
              <c:strCache>
                <c:ptCount val="3"/>
                <c:pt idx="0">
                  <c:v>Ana</c:v>
                </c:pt>
                <c:pt idx="1">
                  <c:v>Luis</c:v>
                </c:pt>
                <c:pt idx="2">
                  <c:v>Pedro</c:v>
                </c:pt>
              </c:strCache>
            </c:strRef>
          </c:cat>
          <c:val>
            <c:numRef>
              <c:f>'Filtros Avanzado 2 '!$D$19:$D$21</c:f>
              <c:numCache>
                <c:formatCode>_-[$$-2C0A]\ * #,##0_-;\-[$$-2C0A]\ * #,##0_-;_-[$$-2C0A]\ * "-"??_-;_-@_-</c:formatCode>
                <c:ptCount val="3"/>
                <c:pt idx="0">
                  <c:v>45000</c:v>
                </c:pt>
                <c:pt idx="1">
                  <c:v>9500</c:v>
                </c:pt>
                <c:pt idx="2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58-49DC-98DC-765DD5615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Menor Venta Registrada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'Filtros Avanzado 2 '!$E$18</c:f>
              <c:strCache>
                <c:ptCount val="1"/>
                <c:pt idx="0">
                  <c:v>Venta Menor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'Filtros Avanzado 2 '!$A$19:$A$21</c:f>
              <c:strCache>
                <c:ptCount val="3"/>
                <c:pt idx="0">
                  <c:v>Ana</c:v>
                </c:pt>
                <c:pt idx="1">
                  <c:v>Luis</c:v>
                </c:pt>
                <c:pt idx="2">
                  <c:v>Pedro</c:v>
                </c:pt>
              </c:strCache>
            </c:strRef>
          </c:cat>
          <c:val>
            <c:numRef>
              <c:f>'Filtros Avanzado 2 '!$E$19:$E$21</c:f>
              <c:numCache>
                <c:formatCode>_-[$$-2C0A]\ * #,##0_-;\-[$$-2C0A]\ * #,##0_-;_-[$$-2C0A]\ * "-"??_-;_-@_-</c:formatCode>
                <c:ptCount val="3"/>
                <c:pt idx="0">
                  <c:v>3500</c:v>
                </c:pt>
                <c:pt idx="1">
                  <c:v>800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3-4C91-ABBE-2478AD5EF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1445088"/>
        <c:axId val="1771448928"/>
      </c:barChart>
      <c:catAx>
        <c:axId val="1771445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48928"/>
        <c:crosses val="autoZero"/>
        <c:auto val="1"/>
        <c:lblAlgn val="ctr"/>
        <c:lblOffset val="100"/>
        <c:noMultiLvlLbl val="0"/>
      </c:catAx>
      <c:valAx>
        <c:axId val="177144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4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76200</xdr:rowOff>
    </xdr:from>
    <xdr:to>
      <xdr:col>5</xdr:col>
      <xdr:colOff>449580</xdr:colOff>
      <xdr:row>12</xdr:row>
      <xdr:rowOff>91440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01A5550-ADDA-75A8-681B-C471DBCB6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</xdr:colOff>
      <xdr:row>0</xdr:row>
      <xdr:rowOff>91440</xdr:rowOff>
    </xdr:from>
    <xdr:to>
      <xdr:col>11</xdr:col>
      <xdr:colOff>502920</xdr:colOff>
      <xdr:row>12</xdr:row>
      <xdr:rowOff>137160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F653DE19-9358-CFEE-E2C8-C75176734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91440</xdr:rowOff>
    </xdr:from>
    <xdr:to>
      <xdr:col>5</xdr:col>
      <xdr:colOff>518160</xdr:colOff>
      <xdr:row>25</xdr:row>
      <xdr:rowOff>160020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50B39A99-0A57-79DB-E3AF-DFB725214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68580</xdr:colOff>
      <xdr:row>13</xdr:row>
      <xdr:rowOff>106680</xdr:rowOff>
    </xdr:from>
    <xdr:to>
      <xdr:col>11</xdr:col>
      <xdr:colOff>525780</xdr:colOff>
      <xdr:row>26</xdr:row>
      <xdr:rowOff>22860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A1B0A26A-EDE7-6CAE-1071-1CF52A4E2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76199</xdr:rowOff>
    </xdr:from>
    <xdr:to>
      <xdr:col>6</xdr:col>
      <xdr:colOff>274320</xdr:colOff>
      <xdr:row>19</xdr:row>
      <xdr:rowOff>150080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E8176686-ACF1-0F4A-7B9E-1FF388F56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356815</xdr:colOff>
      <xdr:row>6</xdr:row>
      <xdr:rowOff>89453</xdr:rowOff>
    </xdr:from>
    <xdr:to>
      <xdr:col>13</xdr:col>
      <xdr:colOff>289560</xdr:colOff>
      <xdr:row>19</xdr:row>
      <xdr:rowOff>137160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D2240067-275B-F9A7-6DB0-D62510A14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7619</xdr:rowOff>
    </xdr:from>
    <xdr:to>
      <xdr:col>6</xdr:col>
      <xdr:colOff>281940</xdr:colOff>
      <xdr:row>32</xdr:row>
      <xdr:rowOff>152400</xdr:rowOff>
    </xdr:to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F2247DC5-AA84-4484-87DE-CB43F5ADE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406842</xdr:colOff>
      <xdr:row>21</xdr:row>
      <xdr:rowOff>30479</xdr:rowOff>
    </xdr:from>
    <xdr:to>
      <xdr:col>13</xdr:col>
      <xdr:colOff>327660</xdr:colOff>
      <xdr:row>33</xdr:row>
      <xdr:rowOff>152400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0DBE0194-9EE5-B272-531C-CD90A07C7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AC8F-666D-43FC-ABDC-D78EABB75DA5}">
  <sheetPr codeName="Sheet1">
    <tabColor rgb="FFFFC000"/>
  </sheetPr>
  <dimension ref="A1:G36"/>
  <sheetViews>
    <sheetView topLeftCell="A4" zoomScale="75" zoomScaleNormal="75" workbookViewId="0">
      <selection activeCell="D30" sqref="D30"/>
    </sheetView>
  </sheetViews>
  <sheetFormatPr defaultRowHeight="14.4" x14ac:dyDescent="0.3"/>
  <cols>
    <col min="1" max="1" width="16.44140625" bestFit="1" customWidth="1"/>
    <col min="2" max="2" width="15.21875" bestFit="1" customWidth="1"/>
    <col min="3" max="3" width="17" bestFit="1" customWidth="1"/>
    <col min="4" max="5" width="20.109375" bestFit="1" customWidth="1"/>
    <col min="6" max="6" width="21.88671875" bestFit="1" customWidth="1"/>
    <col min="7" max="7" width="10" bestFit="1" customWidth="1"/>
  </cols>
  <sheetData>
    <row r="1" spans="1:7" ht="18" x14ac:dyDescent="0.35">
      <c r="A1" s="14" t="s">
        <v>0</v>
      </c>
      <c r="B1" s="14"/>
      <c r="C1" s="14"/>
    </row>
    <row r="4" spans="1:7" ht="15.6" x14ac:dyDescent="0.3">
      <c r="A4" s="15" t="s">
        <v>1</v>
      </c>
      <c r="B4" s="15"/>
      <c r="C4" s="15"/>
      <c r="D4" s="15"/>
      <c r="E4" s="15"/>
    </row>
    <row r="6" spans="1:7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</row>
    <row r="7" spans="1:7" x14ac:dyDescent="0.3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10" t="s">
        <v>14</v>
      </c>
      <c r="G7" s="3" t="s">
        <v>15</v>
      </c>
    </row>
    <row r="8" spans="1:7" x14ac:dyDescent="0.3">
      <c r="A8" s="8">
        <v>101</v>
      </c>
      <c r="B8" s="8" t="s">
        <v>25</v>
      </c>
      <c r="C8" s="8" t="s">
        <v>48</v>
      </c>
      <c r="D8" s="8" t="s">
        <v>33</v>
      </c>
      <c r="E8" s="11">
        <v>60000</v>
      </c>
      <c r="F8" s="9">
        <v>5</v>
      </c>
      <c r="G8" s="8" t="s">
        <v>42</v>
      </c>
    </row>
    <row r="9" spans="1:7" x14ac:dyDescent="0.3">
      <c r="A9" s="6">
        <v>102</v>
      </c>
      <c r="B9" s="2" t="s">
        <v>16</v>
      </c>
      <c r="C9" s="2" t="s">
        <v>30</v>
      </c>
      <c r="D9" s="2" t="s">
        <v>34</v>
      </c>
      <c r="E9" s="12">
        <v>32000</v>
      </c>
      <c r="F9" s="4">
        <v>3</v>
      </c>
      <c r="G9" s="2" t="s">
        <v>42</v>
      </c>
    </row>
    <row r="10" spans="1:7" x14ac:dyDescent="0.3">
      <c r="A10" s="6">
        <v>103</v>
      </c>
      <c r="B10" s="2" t="s">
        <v>17</v>
      </c>
      <c r="C10" s="2" t="s">
        <v>31</v>
      </c>
      <c r="D10" s="2" t="s">
        <v>35</v>
      </c>
      <c r="E10" s="12">
        <v>38000</v>
      </c>
      <c r="F10" s="4">
        <v>4</v>
      </c>
      <c r="G10" s="2" t="s">
        <v>42</v>
      </c>
    </row>
    <row r="11" spans="1:7" x14ac:dyDescent="0.3">
      <c r="A11" s="6">
        <v>104</v>
      </c>
      <c r="B11" s="2" t="s">
        <v>18</v>
      </c>
      <c r="C11" s="2" t="s">
        <v>48</v>
      </c>
      <c r="D11" s="2" t="s">
        <v>36</v>
      </c>
      <c r="E11" s="12">
        <v>62000</v>
      </c>
      <c r="F11" s="4">
        <v>8</v>
      </c>
      <c r="G11" s="2" t="s">
        <v>42</v>
      </c>
    </row>
    <row r="12" spans="1:7" x14ac:dyDescent="0.3">
      <c r="A12" s="6">
        <v>105</v>
      </c>
      <c r="B12" s="2" t="s">
        <v>19</v>
      </c>
      <c r="C12" s="2" t="s">
        <v>32</v>
      </c>
      <c r="D12" s="2" t="s">
        <v>37</v>
      </c>
      <c r="E12" s="12">
        <v>41000</v>
      </c>
      <c r="F12" s="4">
        <v>6</v>
      </c>
      <c r="G12" s="2" t="s">
        <v>42</v>
      </c>
    </row>
    <row r="13" spans="1:7" x14ac:dyDescent="0.3">
      <c r="A13" s="6">
        <v>106</v>
      </c>
      <c r="B13" s="2" t="s">
        <v>20</v>
      </c>
      <c r="C13" s="2" t="s">
        <v>30</v>
      </c>
      <c r="D13" s="2" t="s">
        <v>34</v>
      </c>
      <c r="E13" s="12">
        <v>35000</v>
      </c>
      <c r="F13" s="4">
        <v>2</v>
      </c>
      <c r="G13" s="2" t="s">
        <v>41</v>
      </c>
    </row>
    <row r="14" spans="1:7" x14ac:dyDescent="0.3">
      <c r="A14" s="6">
        <v>107</v>
      </c>
      <c r="B14" s="2" t="s">
        <v>21</v>
      </c>
      <c r="C14" s="2" t="s">
        <v>31</v>
      </c>
      <c r="D14" s="2" t="s">
        <v>38</v>
      </c>
      <c r="E14" s="12">
        <v>29000</v>
      </c>
      <c r="F14" s="4">
        <v>1</v>
      </c>
      <c r="G14" s="2" t="s">
        <v>42</v>
      </c>
    </row>
    <row r="15" spans="1:7" x14ac:dyDescent="0.3">
      <c r="A15" s="6">
        <v>108</v>
      </c>
      <c r="B15" s="2" t="s">
        <v>22</v>
      </c>
      <c r="C15" s="2" t="s">
        <v>48</v>
      </c>
      <c r="D15" s="2" t="s">
        <v>33</v>
      </c>
      <c r="E15" s="12">
        <v>68000</v>
      </c>
      <c r="F15" s="4">
        <v>10</v>
      </c>
      <c r="G15" s="2" t="s">
        <v>42</v>
      </c>
    </row>
    <row r="16" spans="1:7" x14ac:dyDescent="0.3">
      <c r="A16" s="6">
        <v>109</v>
      </c>
      <c r="B16" s="2" t="s">
        <v>23</v>
      </c>
      <c r="C16" s="2" t="s">
        <v>32</v>
      </c>
      <c r="D16" s="2" t="s">
        <v>39</v>
      </c>
      <c r="E16" s="12">
        <v>45000</v>
      </c>
      <c r="F16" s="4">
        <v>7</v>
      </c>
      <c r="G16" s="2" t="s">
        <v>42</v>
      </c>
    </row>
    <row r="17" spans="1:7" x14ac:dyDescent="0.3">
      <c r="A17" s="6">
        <v>110</v>
      </c>
      <c r="B17" s="2" t="s">
        <v>24</v>
      </c>
      <c r="C17" s="2" t="s">
        <v>31</v>
      </c>
      <c r="D17" s="2" t="s">
        <v>35</v>
      </c>
      <c r="E17" s="12">
        <v>33000</v>
      </c>
      <c r="F17" s="4">
        <v>3</v>
      </c>
      <c r="G17" s="2" t="s">
        <v>41</v>
      </c>
    </row>
    <row r="18" spans="1:7" x14ac:dyDescent="0.3">
      <c r="A18" s="6">
        <v>111</v>
      </c>
      <c r="B18" s="2" t="s">
        <v>25</v>
      </c>
      <c r="C18" s="2" t="s">
        <v>48</v>
      </c>
      <c r="D18" s="2" t="s">
        <v>36</v>
      </c>
      <c r="E18" s="12">
        <v>58000</v>
      </c>
      <c r="F18" s="4">
        <v>6</v>
      </c>
      <c r="G18" s="2" t="s">
        <v>42</v>
      </c>
    </row>
    <row r="19" spans="1:7" x14ac:dyDescent="0.3">
      <c r="A19" s="6">
        <v>112</v>
      </c>
      <c r="B19" s="2" t="s">
        <v>26</v>
      </c>
      <c r="C19" s="2" t="s">
        <v>30</v>
      </c>
      <c r="D19" s="2" t="s">
        <v>40</v>
      </c>
      <c r="E19" s="12">
        <v>48000</v>
      </c>
      <c r="F19" s="4">
        <v>9</v>
      </c>
      <c r="G19" s="2" t="s">
        <v>42</v>
      </c>
    </row>
    <row r="20" spans="1:7" x14ac:dyDescent="0.3">
      <c r="A20" s="6">
        <v>113</v>
      </c>
      <c r="B20" s="2" t="s">
        <v>27</v>
      </c>
      <c r="C20" s="2" t="s">
        <v>32</v>
      </c>
      <c r="D20" s="2" t="s">
        <v>37</v>
      </c>
      <c r="E20" s="12">
        <v>43000</v>
      </c>
      <c r="F20" s="4">
        <v>5</v>
      </c>
      <c r="G20" s="2" t="s">
        <v>42</v>
      </c>
    </row>
    <row r="21" spans="1:7" x14ac:dyDescent="0.3">
      <c r="A21" s="6">
        <v>114</v>
      </c>
      <c r="B21" s="2" t="s">
        <v>28</v>
      </c>
      <c r="C21" s="2" t="s">
        <v>31</v>
      </c>
      <c r="D21" s="2" t="s">
        <v>35</v>
      </c>
      <c r="E21" s="12">
        <v>31000</v>
      </c>
      <c r="F21" s="4">
        <v>2</v>
      </c>
      <c r="G21" s="2" t="s">
        <v>42</v>
      </c>
    </row>
    <row r="22" spans="1:7" x14ac:dyDescent="0.3">
      <c r="A22" s="6">
        <v>115</v>
      </c>
      <c r="B22" s="2" t="s">
        <v>29</v>
      </c>
      <c r="C22" s="2" t="s">
        <v>48</v>
      </c>
      <c r="D22" s="2" t="s">
        <v>33</v>
      </c>
      <c r="E22" s="12">
        <v>72000</v>
      </c>
      <c r="F22" s="4">
        <v>12</v>
      </c>
      <c r="G22" s="2" t="s">
        <v>42</v>
      </c>
    </row>
    <row r="23" spans="1:7" x14ac:dyDescent="0.3">
      <c r="E23" s="7"/>
    </row>
    <row r="25" spans="1:7" ht="15.6" x14ac:dyDescent="0.3">
      <c r="A25" s="16" t="s">
        <v>43</v>
      </c>
      <c r="B25" s="16"/>
      <c r="C25" s="16"/>
      <c r="D25" s="16"/>
      <c r="E25" s="16"/>
    </row>
    <row r="28" spans="1:7" x14ac:dyDescent="0.3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</row>
    <row r="29" spans="1:7" x14ac:dyDescent="0.3">
      <c r="A29" s="5" t="s">
        <v>11</v>
      </c>
      <c r="B29" s="5" t="s">
        <v>44</v>
      </c>
      <c r="C29" s="5" t="s">
        <v>45</v>
      </c>
      <c r="D29" s="5" t="s">
        <v>47</v>
      </c>
      <c r="E29" s="5" t="s">
        <v>46</v>
      </c>
    </row>
    <row r="30" spans="1:7" x14ac:dyDescent="0.3">
      <c r="A30" s="2" t="s">
        <v>31</v>
      </c>
      <c r="B30" s="2">
        <f>SUMIF($C$8:$C$22, A30, $E$8:$E$22)</f>
        <v>131000</v>
      </c>
      <c r="C30" s="2">
        <f>AVERAGEIF($C$8:$C$22, A30,$E$8:$E$22)</f>
        <v>32750</v>
      </c>
      <c r="D30" s="2">
        <f>_xlfn.MAXIFS($E$8:$E$22, $C$8:$C$22,A30)</f>
        <v>38000</v>
      </c>
      <c r="E30" s="2">
        <f>_xlfn.MINIFS($E$8:$E$22, $C$8:$C$22, A30)</f>
        <v>29000</v>
      </c>
    </row>
    <row r="31" spans="1:7" x14ac:dyDescent="0.3">
      <c r="A31" s="2" t="s">
        <v>30</v>
      </c>
      <c r="B31" s="2">
        <f t="shared" ref="B31:B33" si="0">SUMIF($C$8:$C$22, A31, $E$8:$E$22)</f>
        <v>115000</v>
      </c>
      <c r="C31" s="2">
        <f t="shared" ref="C31:C33" si="1">AVERAGEIF($C$8:$C$22, A31,$E$8:$E$22)</f>
        <v>38333.333333333336</v>
      </c>
      <c r="D31" s="2">
        <f t="shared" ref="D31:D33" si="2">_xlfn.MAXIFS($E$8:$E$22, $C$8:$C$22,A31)</f>
        <v>48000</v>
      </c>
      <c r="E31" s="2">
        <f t="shared" ref="E31:E33" si="3">_xlfn.MINIFS($E$8:$E$22, $C$8:$C$22, A31)</f>
        <v>32000</v>
      </c>
    </row>
    <row r="32" spans="1:7" x14ac:dyDescent="0.3">
      <c r="A32" s="2" t="s">
        <v>48</v>
      </c>
      <c r="B32" s="2">
        <f t="shared" si="0"/>
        <v>320000</v>
      </c>
      <c r="C32" s="2">
        <f t="shared" si="1"/>
        <v>64000</v>
      </c>
      <c r="D32" s="2">
        <f t="shared" si="2"/>
        <v>72000</v>
      </c>
      <c r="E32" s="2">
        <f t="shared" si="3"/>
        <v>58000</v>
      </c>
    </row>
    <row r="33" spans="1:5" x14ac:dyDescent="0.3">
      <c r="A33" s="2" t="s">
        <v>32</v>
      </c>
      <c r="B33" s="2">
        <f t="shared" si="0"/>
        <v>129000</v>
      </c>
      <c r="C33" s="2">
        <f t="shared" si="1"/>
        <v>43000</v>
      </c>
      <c r="D33" s="2">
        <f t="shared" si="2"/>
        <v>45000</v>
      </c>
      <c r="E33" s="2">
        <f t="shared" si="3"/>
        <v>41000</v>
      </c>
    </row>
    <row r="36" spans="1:5" ht="14.4" customHeight="1" x14ac:dyDescent="0.4">
      <c r="A36" s="13"/>
      <c r="B36" s="13"/>
    </row>
  </sheetData>
  <autoFilter ref="A7:G22" xr:uid="{18CBAC8F-666D-43FC-ABDC-D78EABB75DA5}"/>
  <mergeCells count="3">
    <mergeCell ref="A1:C1"/>
    <mergeCell ref="A4:E4"/>
    <mergeCell ref="A25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BEFD-8049-4E1E-AC37-51180C08910E}">
  <sheetPr codeName="Sheet2">
    <tabColor theme="7" tint="0.59999389629810485"/>
  </sheetPr>
  <dimension ref="A1"/>
  <sheetViews>
    <sheetView workbookViewId="0">
      <selection activeCell="M2" sqref="M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25B1-5D87-4456-B81E-A74E13A274E2}">
  <sheetPr codeName="Sheet3" filterMode="1">
    <tabColor theme="8"/>
  </sheetPr>
  <dimension ref="A1:I21"/>
  <sheetViews>
    <sheetView zoomScale="92" zoomScaleNormal="92" workbookViewId="0">
      <selection activeCell="I29" sqref="I29"/>
    </sheetView>
  </sheetViews>
  <sheetFormatPr defaultRowHeight="14.4" x14ac:dyDescent="0.3"/>
  <cols>
    <col min="1" max="1" width="17.88671875" customWidth="1"/>
    <col min="2" max="2" width="13.5546875" bestFit="1" customWidth="1"/>
    <col min="3" max="3" width="14.33203125" bestFit="1" customWidth="1"/>
    <col min="4" max="4" width="14.77734375" bestFit="1" customWidth="1"/>
    <col min="5" max="5" width="15.109375" bestFit="1" customWidth="1"/>
    <col min="6" max="6" width="13.44140625" bestFit="1" customWidth="1"/>
    <col min="7" max="7" width="13" bestFit="1" customWidth="1"/>
    <col min="8" max="8" width="12.44140625" bestFit="1" customWidth="1"/>
  </cols>
  <sheetData>
    <row r="1" spans="1:9" ht="18" x14ac:dyDescent="0.35">
      <c r="A1" s="17" t="s">
        <v>49</v>
      </c>
      <c r="B1" s="17"/>
      <c r="C1" s="17"/>
      <c r="D1" s="17"/>
      <c r="E1" s="24"/>
      <c r="F1" s="24"/>
      <c r="G1" s="24"/>
      <c r="H1" s="24"/>
      <c r="I1" s="24"/>
    </row>
    <row r="2" spans="1:9" x14ac:dyDescent="0.3">
      <c r="A2" s="24"/>
      <c r="B2" s="24"/>
      <c r="C2" s="24"/>
      <c r="D2" s="24"/>
      <c r="E2" s="24"/>
      <c r="F2" s="24"/>
      <c r="G2" s="24"/>
      <c r="H2" s="24"/>
      <c r="I2" s="24"/>
    </row>
    <row r="3" spans="1:9" x14ac:dyDescent="0.3">
      <c r="A3" s="24"/>
      <c r="B3" s="24"/>
      <c r="C3" s="24"/>
      <c r="D3" s="24"/>
      <c r="E3" s="24"/>
      <c r="F3" s="24"/>
      <c r="G3" s="24"/>
      <c r="H3" s="24"/>
      <c r="I3" s="24"/>
    </row>
    <row r="4" spans="1:9" x14ac:dyDescent="0.3">
      <c r="A4" s="25" t="s">
        <v>50</v>
      </c>
      <c r="B4" s="25" t="s">
        <v>51</v>
      </c>
      <c r="C4" s="25" t="s">
        <v>52</v>
      </c>
      <c r="D4" s="25" t="s">
        <v>53</v>
      </c>
      <c r="E4" s="25" t="s">
        <v>54</v>
      </c>
      <c r="F4" s="25" t="s">
        <v>55</v>
      </c>
      <c r="G4" s="25" t="s">
        <v>56</v>
      </c>
      <c r="H4" s="25" t="s">
        <v>57</v>
      </c>
      <c r="I4" s="24"/>
    </row>
    <row r="5" spans="1:9" x14ac:dyDescent="0.3">
      <c r="A5" s="26">
        <v>101</v>
      </c>
      <c r="B5" s="21">
        <v>46027</v>
      </c>
      <c r="C5" s="22" t="s">
        <v>58</v>
      </c>
      <c r="D5" s="22" t="s">
        <v>61</v>
      </c>
      <c r="E5" s="22" t="s">
        <v>65</v>
      </c>
      <c r="F5" s="22" t="s">
        <v>71</v>
      </c>
      <c r="G5" s="20">
        <v>2</v>
      </c>
      <c r="H5" s="30">
        <v>45000</v>
      </c>
      <c r="I5" s="24"/>
    </row>
    <row r="6" spans="1:9" x14ac:dyDescent="0.3">
      <c r="A6" s="26">
        <v>102</v>
      </c>
      <c r="B6" s="21">
        <v>46029</v>
      </c>
      <c r="C6" s="22" t="s">
        <v>59</v>
      </c>
      <c r="D6" s="22" t="s">
        <v>62</v>
      </c>
      <c r="E6" s="22" t="s">
        <v>66</v>
      </c>
      <c r="F6" s="22" t="s">
        <v>71</v>
      </c>
      <c r="G6" s="20">
        <v>5</v>
      </c>
      <c r="H6" s="30">
        <v>800</v>
      </c>
      <c r="I6" s="24"/>
    </row>
    <row r="7" spans="1:9" hidden="1" x14ac:dyDescent="0.3">
      <c r="A7" s="26">
        <v>103</v>
      </c>
      <c r="B7" s="21">
        <v>46032</v>
      </c>
      <c r="C7" s="22" t="s">
        <v>60</v>
      </c>
      <c r="D7" s="22" t="s">
        <v>61</v>
      </c>
      <c r="E7" s="22" t="s">
        <v>67</v>
      </c>
      <c r="F7" s="22" t="s">
        <v>72</v>
      </c>
      <c r="G7" s="20">
        <v>1</v>
      </c>
      <c r="H7" s="20">
        <v>1200</v>
      </c>
      <c r="I7" s="24"/>
    </row>
    <row r="8" spans="1:9" x14ac:dyDescent="0.3">
      <c r="A8" s="26">
        <v>104</v>
      </c>
      <c r="B8" s="21">
        <v>46034</v>
      </c>
      <c r="C8" s="22" t="s">
        <v>58</v>
      </c>
      <c r="D8" s="22" t="s">
        <v>63</v>
      </c>
      <c r="E8" s="22" t="s">
        <v>68</v>
      </c>
      <c r="F8" s="22" t="s">
        <v>72</v>
      </c>
      <c r="G8" s="20">
        <v>3</v>
      </c>
      <c r="H8" s="30">
        <v>3500</v>
      </c>
      <c r="I8" s="24"/>
    </row>
    <row r="9" spans="1:9" hidden="1" x14ac:dyDescent="0.3">
      <c r="A9" s="26">
        <v>105</v>
      </c>
      <c r="B9" s="21">
        <v>46037</v>
      </c>
      <c r="C9" s="22" t="s">
        <v>59</v>
      </c>
      <c r="D9" s="22" t="s">
        <v>62</v>
      </c>
      <c r="E9" s="22" t="s">
        <v>69</v>
      </c>
      <c r="F9" s="22" t="s">
        <v>71</v>
      </c>
      <c r="G9" s="20">
        <v>2</v>
      </c>
      <c r="H9" s="20">
        <v>9500</v>
      </c>
      <c r="I9" s="24"/>
    </row>
    <row r="10" spans="1:9" x14ac:dyDescent="0.3">
      <c r="A10" s="26">
        <v>106</v>
      </c>
      <c r="B10" s="21">
        <v>46040</v>
      </c>
      <c r="C10" s="22" t="s">
        <v>60</v>
      </c>
      <c r="D10" s="22" t="s">
        <v>64</v>
      </c>
      <c r="E10" s="22" t="s">
        <v>65</v>
      </c>
      <c r="F10" s="22" t="s">
        <v>71</v>
      </c>
      <c r="G10" s="20">
        <v>1</v>
      </c>
      <c r="H10" s="30">
        <v>45000</v>
      </c>
      <c r="I10" s="24"/>
    </row>
    <row r="11" spans="1:9" x14ac:dyDescent="0.3">
      <c r="A11" s="26">
        <v>107</v>
      </c>
      <c r="B11" s="21">
        <v>46042</v>
      </c>
      <c r="C11" s="22" t="s">
        <v>58</v>
      </c>
      <c r="D11" s="22" t="s">
        <v>62</v>
      </c>
      <c r="E11" s="22" t="s">
        <v>70</v>
      </c>
      <c r="F11" s="22" t="s">
        <v>71</v>
      </c>
      <c r="G11" s="20">
        <v>2</v>
      </c>
      <c r="H11" s="30">
        <v>8500</v>
      </c>
      <c r="I11" s="24"/>
    </row>
    <row r="12" spans="1:9" x14ac:dyDescent="0.3">
      <c r="A12" s="26">
        <v>108</v>
      </c>
      <c r="B12" s="21">
        <v>46044</v>
      </c>
      <c r="C12" s="22" t="s">
        <v>59</v>
      </c>
      <c r="D12" s="22" t="s">
        <v>61</v>
      </c>
      <c r="E12" s="22" t="s">
        <v>68</v>
      </c>
      <c r="F12" s="22" t="s">
        <v>72</v>
      </c>
      <c r="G12" s="20">
        <v>4</v>
      </c>
      <c r="H12" s="30">
        <v>3500</v>
      </c>
      <c r="I12" s="24"/>
    </row>
    <row r="13" spans="1:9" x14ac:dyDescent="0.3">
      <c r="A13" s="26">
        <v>109</v>
      </c>
      <c r="B13" s="21">
        <v>46047</v>
      </c>
      <c r="C13" s="22" t="s">
        <v>60</v>
      </c>
      <c r="D13" s="22" t="s">
        <v>63</v>
      </c>
      <c r="E13" s="22" t="s">
        <v>67</v>
      </c>
      <c r="F13" s="22" t="s">
        <v>72</v>
      </c>
      <c r="G13" s="20">
        <v>2</v>
      </c>
      <c r="H13" s="30">
        <v>1200</v>
      </c>
      <c r="I13" s="24"/>
    </row>
    <row r="14" spans="1:9" x14ac:dyDescent="0.3">
      <c r="A14" s="26">
        <v>110</v>
      </c>
      <c r="B14" s="21">
        <v>46050</v>
      </c>
      <c r="C14" s="22" t="s">
        <v>58</v>
      </c>
      <c r="D14" s="22" t="s">
        <v>62</v>
      </c>
      <c r="E14" s="22" t="s">
        <v>65</v>
      </c>
      <c r="F14" s="22" t="s">
        <v>71</v>
      </c>
      <c r="G14" s="20">
        <v>1</v>
      </c>
      <c r="H14" s="30">
        <v>45000</v>
      </c>
      <c r="I14" s="24"/>
    </row>
    <row r="15" spans="1:9" x14ac:dyDescent="0.3">
      <c r="A15" s="18"/>
      <c r="B15" s="19"/>
      <c r="C15" s="18"/>
      <c r="D15" s="18"/>
      <c r="E15" s="18"/>
      <c r="F15" s="18"/>
      <c r="G15" s="18"/>
      <c r="H15" s="18"/>
      <c r="I15" s="24"/>
    </row>
    <row r="16" spans="1:9" x14ac:dyDescent="0.3">
      <c r="A16" s="18"/>
      <c r="B16" s="18"/>
      <c r="C16" s="18"/>
      <c r="D16" s="18"/>
      <c r="E16" s="18"/>
      <c r="F16" s="18"/>
      <c r="G16" s="18"/>
      <c r="H16" s="18"/>
    </row>
    <row r="17" spans="1:5" x14ac:dyDescent="0.3">
      <c r="A17" s="1" t="s">
        <v>2</v>
      </c>
      <c r="B17" s="1" t="s">
        <v>3</v>
      </c>
      <c r="C17" s="1" t="s">
        <v>4</v>
      </c>
      <c r="D17" s="1" t="s">
        <v>5</v>
      </c>
      <c r="E17" s="1" t="s">
        <v>6</v>
      </c>
    </row>
    <row r="18" spans="1:5" x14ac:dyDescent="0.3">
      <c r="A18" s="28" t="s">
        <v>52</v>
      </c>
      <c r="B18" s="28" t="s">
        <v>77</v>
      </c>
      <c r="C18" s="5" t="s">
        <v>78</v>
      </c>
      <c r="D18" s="27" t="s">
        <v>79</v>
      </c>
      <c r="E18" s="5" t="s">
        <v>80</v>
      </c>
    </row>
    <row r="19" spans="1:5" x14ac:dyDescent="0.3">
      <c r="A19" s="29" t="s">
        <v>58</v>
      </c>
      <c r="B19" s="31">
        <f>SUMIF($C$5:$C$14, A19, $H$5:$H$14)</f>
        <v>102000</v>
      </c>
      <c r="C19" s="32">
        <f>AVERAGEIF($C$5:$C$14, A19, $H$5:$H$14)</f>
        <v>25500</v>
      </c>
      <c r="D19" s="32">
        <f>_xlfn.MAXIFS($H$5:$H$14,$C$5:$C$14,A19)</f>
        <v>45000</v>
      </c>
      <c r="E19" s="32">
        <f>_xlfn.MINIFS($H$5:$H$14,$C$5:$C$14,A19)</f>
        <v>3500</v>
      </c>
    </row>
    <row r="20" spans="1:5" ht="15" customHeight="1" x14ac:dyDescent="0.3">
      <c r="A20" s="29" t="s">
        <v>59</v>
      </c>
      <c r="B20" s="31">
        <f t="shared" ref="B20:B21" si="0">SUMIF($C$5:$C$14, A20, $H$5:$H$14)</f>
        <v>13800</v>
      </c>
      <c r="C20" s="32">
        <f t="shared" ref="C20:C21" si="1">AVERAGEIF($C$5:$C$14, A20, $H$5:$H$14)</f>
        <v>4600</v>
      </c>
      <c r="D20" s="32">
        <f t="shared" ref="D20:D21" si="2">_xlfn.MAXIFS($H$5:$H$14,$C$5:$C$14,A20)</f>
        <v>9500</v>
      </c>
      <c r="E20" s="32">
        <f t="shared" ref="E20:E21" si="3">_xlfn.MINIFS($H$5:$H$14,$C$5:$C$14,A20)</f>
        <v>800</v>
      </c>
    </row>
    <row r="21" spans="1:5" ht="15" customHeight="1" x14ac:dyDescent="0.3">
      <c r="A21" s="29" t="s">
        <v>60</v>
      </c>
      <c r="B21" s="31">
        <f>SUMIF($C$5:$C$14, A21, $H$5:$H$14)</f>
        <v>47400</v>
      </c>
      <c r="C21" s="32">
        <f t="shared" si="1"/>
        <v>15800</v>
      </c>
      <c r="D21" s="32">
        <f t="shared" si="2"/>
        <v>45000</v>
      </c>
      <c r="E21" s="32">
        <f>_xlfn.MINIFS(H5:H14,C5:C14,A21)</f>
        <v>1200</v>
      </c>
    </row>
  </sheetData>
  <autoFilter ref="A4:H20" xr:uid="{8A9125B1-5D87-4456-B81E-A74E13A274E2}">
    <filterColumn colId="1">
      <filters blank="1">
        <filter val="Ciudad"/>
        <filter val="Santiago"/>
        <dateGroupItem year="2026" month="1" day="5" dateTimeGrouping="day"/>
        <dateGroupItem year="2026" month="1" day="7" dateTimeGrouping="day"/>
        <dateGroupItem year="2026" month="1" day="12" dateTimeGrouping="day"/>
        <dateGroupItem year="2026" month="1" day="18" dateTimeGrouping="day"/>
        <dateGroupItem year="2026" month="1" day="20" dateTimeGrouping="day"/>
        <dateGroupItem year="2026" month="1" day="22" dateTimeGrouping="day"/>
        <dateGroupItem year="2026" month="1" day="25" dateTimeGrouping="day"/>
        <dateGroupItem year="2026" month="1" day="28" dateTimeGrouping="day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AD5E-4320-448A-AAB1-D3B6A013135D}">
  <sheetPr codeName="Sheet4">
    <tabColor theme="8" tint="0.39997558519241921"/>
  </sheetPr>
  <dimension ref="A5"/>
  <sheetViews>
    <sheetView tabSelected="1" workbookViewId="0">
      <selection activeCell="F5" sqref="F5"/>
    </sheetView>
  </sheetViews>
  <sheetFormatPr defaultRowHeight="14.4" x14ac:dyDescent="0.3"/>
  <sheetData>
    <row r="5" spans="1:1" x14ac:dyDescent="0.3">
      <c r="A5" s="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Filtros Avanzado </vt:lpstr>
      <vt:lpstr>Dashboard RRHH	</vt:lpstr>
      <vt:lpstr>Filtros Avanzado 2 </vt:lpstr>
      <vt:lpstr>Dashboard Ventas</vt:lpstr>
      <vt:lpstr>'Filtros Avanzado 2 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2026-06-12T00:49:32Z</dcterms:created>
  <dcterms:modified xsi:type="dcterms:W3CDTF">2026-06-17T03:18:50Z</dcterms:modified>
</cp:coreProperties>
</file>