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EXCEL/"/>
    </mc:Choice>
  </mc:AlternateContent>
  <xr:revisionPtr revIDLastSave="2" documentId="8_{175B8AB0-EBA2-4AD5-A367-B39C1A612A2A}" xr6:coauthVersionLast="47" xr6:coauthVersionMax="47" xr10:uidLastSave="{493D188E-E394-4A2F-A6C8-7B17E52647E4}"/>
  <bookViews>
    <workbookView xWindow="0" yWindow="0" windowWidth="11772" windowHeight="12240" xr2:uid="{C7DED14F-EBCD-4FC5-8DA2-1D197698C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  <c r="B28" i="1"/>
  <c r="B27" i="1"/>
  <c r="B25" i="1"/>
  <c r="B24" i="1"/>
  <c r="B20" i="1"/>
  <c r="B19" i="1"/>
  <c r="B18" i="1"/>
  <c r="B17" i="1"/>
</calcChain>
</file>

<file path=xl/sharedStrings.xml><?xml version="1.0" encoding="utf-8"?>
<sst xmlns="http://schemas.openxmlformats.org/spreadsheetml/2006/main" count="55" uniqueCount="43">
  <si>
    <t>BASE DE DATOS DE EMPLEADOS - JUNIO 2026</t>
  </si>
  <si>
    <t>A</t>
  </si>
  <si>
    <t>B</t>
  </si>
  <si>
    <t>C</t>
  </si>
  <si>
    <t>D</t>
  </si>
  <si>
    <t>E</t>
  </si>
  <si>
    <t>ID</t>
  </si>
  <si>
    <t>Departamento</t>
  </si>
  <si>
    <t>Empleado</t>
  </si>
  <si>
    <t>Salario</t>
  </si>
  <si>
    <t>Años de Experiencia</t>
  </si>
  <si>
    <t xml:space="preserve">Edwin Villar </t>
  </si>
  <si>
    <t>Maria Gonzalez</t>
  </si>
  <si>
    <t>Carlos Martinez</t>
  </si>
  <si>
    <t>Ana Rodriguez</t>
  </si>
  <si>
    <t>Luis Hernandez</t>
  </si>
  <si>
    <t xml:space="preserve">Sofia Lopez </t>
  </si>
  <si>
    <t>Pedro Garcia</t>
  </si>
  <si>
    <t>Valeria Morales</t>
  </si>
  <si>
    <t>Miguel Jimenez</t>
  </si>
  <si>
    <t xml:space="preserve">Isabella Torres </t>
  </si>
  <si>
    <t xml:space="preserve">Tecnologia </t>
  </si>
  <si>
    <t>Ventas</t>
  </si>
  <si>
    <t>Recursos Humanos</t>
  </si>
  <si>
    <t xml:space="preserve">Contabilidad </t>
  </si>
  <si>
    <t>Marketing</t>
  </si>
  <si>
    <t>Buscar por ID:</t>
  </si>
  <si>
    <t>Nombre</t>
  </si>
  <si>
    <t xml:space="preserve">Años de Experiencia </t>
  </si>
  <si>
    <t>Buscar</t>
  </si>
  <si>
    <t>Buscar el ID que escribi (108)</t>
  </si>
  <si>
    <t xml:space="preserve">A4:E13 en toda mi tabla </t>
  </si>
  <si>
    <t>Traeme la columna 4 (SALARIO)</t>
  </si>
  <si>
    <t xml:space="preserve">Busqueda Exacta </t>
  </si>
  <si>
    <r>
      <t>¿Qué es VLOOKUP?</t>
    </r>
    <r>
      <rPr>
        <sz val="11"/>
        <color theme="1"/>
        <rFont val="Calibri"/>
        <family val="2"/>
        <scheme val="minor"/>
      </rPr>
      <t xml:space="preserve"> Busca un valor en una tabla y devuelve información relacionada.</t>
    </r>
  </si>
  <si>
    <t>Es como buscar el nombre de un estudiante y que Excel te diga automáticamente su nota.</t>
  </si>
  <si>
    <t>Qué es SUMIF? Suma valores que cumplen una condición específica. Ejemplo: "Suma solo las ventas del departamento de Tecnología" me refiero mandame algo asi como esto</t>
  </si>
  <si>
    <r>
      <t>¿Qué es SUMIF?</t>
    </r>
    <r>
      <rPr>
        <sz val="11"/>
        <color theme="1"/>
        <rFont val="Calibri"/>
        <family val="2"/>
        <scheme val="minor"/>
      </rPr>
      <t xml:space="preserve"> Suma valores que cumplen una condición específica.</t>
    </r>
  </si>
  <si>
    <r>
      <t xml:space="preserve">Ejemplo: </t>
    </r>
    <r>
      <rPr>
        <i/>
        <sz val="11"/>
        <color theme="1"/>
        <rFont val="Calibri"/>
        <family val="2"/>
        <scheme val="minor"/>
      </rPr>
      <t>"Suma solo las ventas del departamento de Tecnología"</t>
    </r>
  </si>
  <si>
    <t xml:space="preserve">A </t>
  </si>
  <si>
    <t xml:space="preserve">SUMIF-Salario por Departamento </t>
  </si>
  <si>
    <t>Contabilidad</t>
  </si>
  <si>
    <t xml:space="preserve">Recursos Humanos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</si>
</sst>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8F8F6"/>
      <name val="Segoe UI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4" borderId="1" xfId="0" applyFont="1" applyFill="1" applyBorder="1"/>
    <xf numFmtId="0" fontId="1" fillId="0" borderId="0" xfId="0" applyFont="1"/>
    <xf numFmtId="0" fontId="0" fillId="0" borderId="1" xfId="0" applyBorder="1" applyAlignment="1">
      <alignment horizontal="right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2" fillId="2" borderId="1" xfId="0" applyFont="1" applyFill="1" applyBorder="1"/>
    <xf numFmtId="0" fontId="2" fillId="0" borderId="0" xfId="0" applyFont="1"/>
    <xf numFmtId="0" fontId="0" fillId="0" borderId="2" xfId="0" applyBorder="1"/>
    <xf numFmtId="0" fontId="1" fillId="5" borderId="1" xfId="0" applyFont="1" applyFill="1" applyBorder="1"/>
    <xf numFmtId="43" fontId="0" fillId="0" borderId="1" xfId="1" applyFont="1" applyBorder="1"/>
    <xf numFmtId="43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D6E9-7070-40B6-B498-6013A8D439CF}">
  <dimension ref="A1:O28"/>
  <sheetViews>
    <sheetView tabSelected="1" zoomScale="80" zoomScaleNormal="80" workbookViewId="0">
      <selection activeCell="B26" sqref="B26"/>
    </sheetView>
  </sheetViews>
  <sheetFormatPr defaultRowHeight="14.4" x14ac:dyDescent="0.3"/>
  <cols>
    <col min="1" max="1" width="29.88671875" bestFit="1" customWidth="1"/>
    <col min="2" max="2" width="14.5546875" bestFit="1" customWidth="1"/>
    <col min="3" max="3" width="27" bestFit="1" customWidth="1"/>
    <col min="4" max="4" width="10.33203125" bestFit="1" customWidth="1"/>
    <col min="5" max="5" width="17.44140625" bestFit="1" customWidth="1"/>
    <col min="14" max="14" width="11.77734375" customWidth="1"/>
  </cols>
  <sheetData>
    <row r="1" spans="1:15" x14ac:dyDescent="0.3">
      <c r="A1" s="17" t="s">
        <v>0</v>
      </c>
      <c r="B1" s="17"/>
      <c r="C1" s="17"/>
      <c r="D1" s="17"/>
      <c r="E1" s="17"/>
      <c r="F1" s="17"/>
    </row>
    <row r="2" spans="1:15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15" x14ac:dyDescent="0.3">
      <c r="A3" s="4" t="s">
        <v>6</v>
      </c>
      <c r="B3" s="5" t="s">
        <v>8</v>
      </c>
      <c r="C3" s="5" t="s">
        <v>7</v>
      </c>
      <c r="D3" s="5" t="s">
        <v>9</v>
      </c>
      <c r="E3" s="5" t="s">
        <v>10</v>
      </c>
      <c r="G3" s="18" t="s">
        <v>34</v>
      </c>
      <c r="H3" s="18"/>
      <c r="I3" s="18"/>
      <c r="J3" s="18"/>
      <c r="K3" s="18"/>
      <c r="L3" s="18"/>
      <c r="M3" s="18"/>
      <c r="N3" s="18"/>
    </row>
    <row r="4" spans="1:15" x14ac:dyDescent="0.3">
      <c r="A4" s="3">
        <v>101</v>
      </c>
      <c r="B4" s="1" t="s">
        <v>11</v>
      </c>
      <c r="C4" s="1" t="s">
        <v>21</v>
      </c>
      <c r="D4" s="15">
        <v>45000</v>
      </c>
      <c r="E4" s="1">
        <v>3</v>
      </c>
      <c r="G4" s="9"/>
    </row>
    <row r="5" spans="1:15" x14ac:dyDescent="0.3">
      <c r="A5" s="3">
        <v>102</v>
      </c>
      <c r="B5" s="1" t="s">
        <v>12</v>
      </c>
      <c r="C5" s="1" t="s">
        <v>22</v>
      </c>
      <c r="D5" s="15">
        <v>32000</v>
      </c>
      <c r="E5" s="1">
        <v>5</v>
      </c>
      <c r="G5" s="19" t="s">
        <v>35</v>
      </c>
      <c r="H5" s="19"/>
      <c r="I5" s="19"/>
      <c r="J5" s="19"/>
      <c r="K5" s="19"/>
      <c r="L5" s="19"/>
      <c r="M5" s="19"/>
      <c r="N5" s="19"/>
      <c r="O5" s="19"/>
    </row>
    <row r="6" spans="1:15" x14ac:dyDescent="0.3">
      <c r="A6" s="3">
        <v>103</v>
      </c>
      <c r="B6" s="1" t="s">
        <v>13</v>
      </c>
      <c r="C6" s="1" t="s">
        <v>23</v>
      </c>
      <c r="D6" s="15">
        <v>38000</v>
      </c>
      <c r="E6" s="1">
        <v>7</v>
      </c>
    </row>
    <row r="7" spans="1:15" x14ac:dyDescent="0.3">
      <c r="A7" s="3">
        <v>104</v>
      </c>
      <c r="B7" s="1" t="s">
        <v>14</v>
      </c>
      <c r="C7" s="1" t="s">
        <v>21</v>
      </c>
      <c r="D7" s="15">
        <v>52000</v>
      </c>
      <c r="E7" s="1">
        <v>8</v>
      </c>
    </row>
    <row r="8" spans="1:15" ht="15" x14ac:dyDescent="0.35">
      <c r="A8" s="3">
        <v>105</v>
      </c>
      <c r="B8" s="1" t="s">
        <v>15</v>
      </c>
      <c r="C8" s="1" t="s">
        <v>24</v>
      </c>
      <c r="D8" s="15">
        <v>41000</v>
      </c>
      <c r="E8" s="1">
        <v>4</v>
      </c>
      <c r="G8" s="10" t="s">
        <v>36</v>
      </c>
    </row>
    <row r="9" spans="1:15" x14ac:dyDescent="0.3">
      <c r="A9" s="3">
        <v>106</v>
      </c>
      <c r="B9" s="1" t="s">
        <v>16</v>
      </c>
      <c r="C9" s="1" t="s">
        <v>22</v>
      </c>
      <c r="D9" s="15">
        <v>35000</v>
      </c>
      <c r="E9" s="1">
        <v>2</v>
      </c>
    </row>
    <row r="10" spans="1:15" x14ac:dyDescent="0.3">
      <c r="A10" s="3">
        <v>107</v>
      </c>
      <c r="B10" s="1" t="s">
        <v>17</v>
      </c>
      <c r="C10" s="1" t="s">
        <v>25</v>
      </c>
      <c r="D10" s="15">
        <v>29000</v>
      </c>
      <c r="E10" s="1">
        <v>1</v>
      </c>
      <c r="G10" s="7" t="s">
        <v>37</v>
      </c>
    </row>
    <row r="11" spans="1:15" x14ac:dyDescent="0.3">
      <c r="A11" s="3">
        <v>108</v>
      </c>
      <c r="B11" s="1" t="s">
        <v>18</v>
      </c>
      <c r="C11" s="1" t="s">
        <v>21</v>
      </c>
      <c r="D11" s="15">
        <v>60000</v>
      </c>
      <c r="E11" s="1">
        <v>10</v>
      </c>
      <c r="G11" s="9"/>
    </row>
    <row r="12" spans="1:15" x14ac:dyDescent="0.3">
      <c r="A12" s="3">
        <v>109</v>
      </c>
      <c r="B12" s="1" t="s">
        <v>19</v>
      </c>
      <c r="C12" s="1" t="s">
        <v>24</v>
      </c>
      <c r="D12" s="15">
        <v>43000</v>
      </c>
      <c r="E12" s="1">
        <v>6</v>
      </c>
      <c r="G12" s="9" t="s">
        <v>38</v>
      </c>
    </row>
    <row r="13" spans="1:15" x14ac:dyDescent="0.3">
      <c r="A13" s="3">
        <v>110</v>
      </c>
      <c r="B13" s="1" t="s">
        <v>20</v>
      </c>
      <c r="C13" s="1" t="s">
        <v>25</v>
      </c>
      <c r="D13" s="15">
        <v>31000</v>
      </c>
      <c r="E13" s="1">
        <v>3</v>
      </c>
    </row>
    <row r="15" spans="1:15" x14ac:dyDescent="0.3">
      <c r="A15" s="11" t="s">
        <v>1</v>
      </c>
      <c r="B15" s="11" t="s">
        <v>2</v>
      </c>
    </row>
    <row r="16" spans="1:15" x14ac:dyDescent="0.3">
      <c r="A16" s="2" t="s">
        <v>26</v>
      </c>
      <c r="B16" s="2">
        <v>101</v>
      </c>
      <c r="C16" s="7" t="s">
        <v>29</v>
      </c>
    </row>
    <row r="17" spans="1:5" x14ac:dyDescent="0.3">
      <c r="A17" s="2" t="s">
        <v>27</v>
      </c>
      <c r="B17" s="8" t="str">
        <f>VLOOKUP(B16,A4:E13,2,0)</f>
        <v xml:space="preserve">Edwin Villar </v>
      </c>
      <c r="C17" s="7" t="s">
        <v>30</v>
      </c>
      <c r="E17" s="16"/>
    </row>
    <row r="18" spans="1:5" x14ac:dyDescent="0.3">
      <c r="A18" s="2" t="s">
        <v>7</v>
      </c>
      <c r="B18" s="8" t="str">
        <f>VLOOKUP(B16,A4:E13,3,0)</f>
        <v xml:space="preserve">Tecnologia </v>
      </c>
      <c r="C18" s="7" t="s">
        <v>31</v>
      </c>
    </row>
    <row r="19" spans="1:5" x14ac:dyDescent="0.3">
      <c r="A19" s="2" t="s">
        <v>9</v>
      </c>
      <c r="B19" s="1">
        <f>VLOOKUP(B16,A4:E13,4,0)</f>
        <v>45000</v>
      </c>
      <c r="C19" s="7" t="s">
        <v>32</v>
      </c>
    </row>
    <row r="20" spans="1:5" x14ac:dyDescent="0.3">
      <c r="A20" s="2" t="s">
        <v>28</v>
      </c>
      <c r="B20" s="1">
        <f>VLOOKUP(B16,A4:E13,5,0)</f>
        <v>3</v>
      </c>
      <c r="C20" s="7" t="s">
        <v>33</v>
      </c>
    </row>
    <row r="22" spans="1:5" x14ac:dyDescent="0.3">
      <c r="A22" s="12" t="s">
        <v>39</v>
      </c>
    </row>
    <row r="23" spans="1:5" x14ac:dyDescent="0.3">
      <c r="A23" s="14" t="s">
        <v>40</v>
      </c>
      <c r="B23" s="2"/>
    </row>
    <row r="24" spans="1:5" x14ac:dyDescent="0.3">
      <c r="A24" s="13" t="s">
        <v>21</v>
      </c>
      <c r="B24" s="15">
        <f>SUMIF(C4:C13,"Tecnologia",D4:D13)</f>
        <v>0</v>
      </c>
    </row>
    <row r="25" spans="1:5" x14ac:dyDescent="0.3">
      <c r="A25" s="13" t="s">
        <v>22</v>
      </c>
      <c r="B25" s="15">
        <f>SUMIF(C4:C13,"Ventas",D4:D13)</f>
        <v>67000</v>
      </c>
    </row>
    <row r="26" spans="1:5" x14ac:dyDescent="0.3">
      <c r="A26" s="13" t="s">
        <v>41</v>
      </c>
      <c r="B26" s="15">
        <f>SUMIF(C4:C13,"Contabilidad",D4:D13)</f>
        <v>0</v>
      </c>
    </row>
    <row r="27" spans="1:5" x14ac:dyDescent="0.3">
      <c r="A27" s="13" t="s">
        <v>25</v>
      </c>
      <c r="B27" s="15">
        <f>SUMIF(C4:C13,"Marketing",D4:D13)</f>
        <v>60000</v>
      </c>
    </row>
    <row r="28" spans="1:5" x14ac:dyDescent="0.3">
      <c r="A28" s="13" t="s">
        <v>42</v>
      </c>
      <c r="B28" s="15">
        <f>SUMIF(C4:C13,"Recursos Humanos",D4:D13)</f>
        <v>38000</v>
      </c>
    </row>
  </sheetData>
  <mergeCells count="3">
    <mergeCell ref="A1:F1"/>
    <mergeCell ref="G3:N3"/>
    <mergeCell ref="G5:O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2026-06-06T20:05:35Z</dcterms:created>
  <dcterms:modified xsi:type="dcterms:W3CDTF">2026-06-06T23:01:13Z</dcterms:modified>
</cp:coreProperties>
</file>