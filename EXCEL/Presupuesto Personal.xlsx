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EXCEL/"/>
    </mc:Choice>
  </mc:AlternateContent>
  <xr:revisionPtr revIDLastSave="20" documentId="8_{EE053816-48E3-4E91-A6AD-611A9303676C}" xr6:coauthVersionLast="47" xr6:coauthVersionMax="47" xr10:uidLastSave="{4A3C341F-FFCD-42C0-8A6E-6C0A04255D82}"/>
  <bookViews>
    <workbookView xWindow="-108" yWindow="-108" windowWidth="23256" windowHeight="12456" activeTab="2" xr2:uid="{00000000-000D-0000-FFFF-FFFF00000000}"/>
  </bookViews>
  <sheets>
    <sheet name="Personal-Budget_2026" sheetId="2" r:id="rId1"/>
    <sheet name="Junio-2026" sheetId="1" r:id="rId2"/>
    <sheet name="Junio-30-2026" sheetId="3" r:id="rId3"/>
    <sheet name="Julio-31-2026" sheetId="5" r:id="rId4"/>
    <sheet name="Libros 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5" l="1"/>
  <c r="C19" i="5" s="1"/>
  <c r="I17" i="5"/>
  <c r="I18" i="5" s="1"/>
  <c r="F6" i="4"/>
  <c r="I4" i="4" s="1"/>
  <c r="B28" i="3"/>
  <c r="B21" i="3"/>
  <c r="B26" i="3"/>
  <c r="B27" i="3"/>
  <c r="B19" i="3"/>
  <c r="B20" i="3"/>
  <c r="B22" i="3"/>
  <c r="B23" i="3"/>
  <c r="B24" i="3"/>
  <c r="B25" i="3"/>
  <c r="B18" i="3"/>
  <c r="F5" i="4"/>
  <c r="F4" i="4"/>
  <c r="B95" i="1"/>
  <c r="B94" i="1"/>
  <c r="B93" i="1"/>
  <c r="B91" i="1"/>
  <c r="B90" i="1"/>
  <c r="G52" i="1"/>
  <c r="G53" i="1"/>
  <c r="G54" i="1"/>
  <c r="G51" i="1"/>
  <c r="F52" i="1"/>
  <c r="F53" i="1"/>
  <c r="F54" i="1"/>
  <c r="F51" i="1"/>
  <c r="D35" i="1"/>
  <c r="D28" i="1"/>
  <c r="D27" i="1"/>
  <c r="D26" i="1"/>
  <c r="D25" i="1"/>
  <c r="D24" i="1"/>
  <c r="D23" i="1"/>
  <c r="D22" i="1"/>
  <c r="D21" i="1"/>
  <c r="D20" i="1"/>
  <c r="D38" i="1"/>
  <c r="D39" i="1"/>
  <c r="D37" i="1"/>
  <c r="D42" i="1"/>
  <c r="D41" i="1"/>
  <c r="D40" i="1"/>
  <c r="D36" i="1"/>
  <c r="D34" i="1"/>
  <c r="D11" i="1"/>
  <c r="D10" i="1"/>
  <c r="D9" i="1"/>
  <c r="D8" i="1"/>
  <c r="D7" i="1"/>
  <c r="D5" i="1"/>
  <c r="D6" i="1"/>
  <c r="I5" i="4" l="1"/>
  <c r="D12" i="1"/>
</calcChain>
</file>

<file path=xl/sharedStrings.xml><?xml version="1.0" encoding="utf-8"?>
<sst xmlns="http://schemas.openxmlformats.org/spreadsheetml/2006/main" count="371" uniqueCount="245">
  <si>
    <t xml:space="preserve">Cantidad </t>
  </si>
  <si>
    <t>Descripcion</t>
  </si>
  <si>
    <t>Valor Unitario</t>
  </si>
  <si>
    <t>Valor Total</t>
  </si>
  <si>
    <t xml:space="preserve">                                Tienda Dominicana</t>
  </si>
  <si>
    <t xml:space="preserve">TOTAL </t>
  </si>
  <si>
    <t xml:space="preserve">Equipo de Sonido </t>
  </si>
  <si>
    <t xml:space="preserve">Estufa </t>
  </si>
  <si>
    <t>Lamparas</t>
  </si>
  <si>
    <t xml:space="preserve">Pantallas </t>
  </si>
  <si>
    <t xml:space="preserve">Inversores </t>
  </si>
  <si>
    <t>Sillas</t>
  </si>
  <si>
    <t xml:space="preserve">Puertas </t>
  </si>
  <si>
    <t xml:space="preserve">Grafico Estadistico </t>
  </si>
  <si>
    <t xml:space="preserve">Nombre y Apellido </t>
  </si>
  <si>
    <t xml:space="preserve">Dias Trabajados </t>
  </si>
  <si>
    <t>Total Sueldo</t>
  </si>
  <si>
    <t>Carlos Almonte</t>
  </si>
  <si>
    <t>Manuela Cirena</t>
  </si>
  <si>
    <t>Carmen Hernandez</t>
  </si>
  <si>
    <t>Pedro Acosta</t>
  </si>
  <si>
    <t xml:space="preserve">Albert Diaz </t>
  </si>
  <si>
    <t xml:space="preserve">Eddy Abreu </t>
  </si>
  <si>
    <t xml:space="preserve">Thiago Rincon </t>
  </si>
  <si>
    <t xml:space="preserve">Francy Ortiz </t>
  </si>
  <si>
    <t xml:space="preserve">Fernanda Abreu </t>
  </si>
  <si>
    <t>Sueldo Basico</t>
  </si>
  <si>
    <t xml:space="preserve">Sistemas Unidos </t>
  </si>
  <si>
    <t>Funcion Si-EXCEL 2013</t>
  </si>
  <si>
    <t xml:space="preserve">Nombre </t>
  </si>
  <si>
    <t>Apellido</t>
  </si>
  <si>
    <t>Excel</t>
  </si>
  <si>
    <t>Word</t>
  </si>
  <si>
    <t>Access</t>
  </si>
  <si>
    <t>Promedio</t>
  </si>
  <si>
    <t xml:space="preserve">Nota Final </t>
  </si>
  <si>
    <t>Dostin</t>
  </si>
  <si>
    <t>Sandy</t>
  </si>
  <si>
    <t>Juliano</t>
  </si>
  <si>
    <t>Fukencio</t>
  </si>
  <si>
    <t>Martinez</t>
  </si>
  <si>
    <t xml:space="preserve">Centurion </t>
  </si>
  <si>
    <t>Olivera</t>
  </si>
  <si>
    <t>Hurtado</t>
  </si>
  <si>
    <t>Hoja 1 — CONTROL DE COMPRAS</t>
  </si>
  <si>
    <t>Título:</t>
  </si>
  <si>
    <t>Control de Compras y Presupuesto 2026</t>
  </si>
  <si>
    <t>ID</t>
  </si>
  <si>
    <t>Producto</t>
  </si>
  <si>
    <t>Categoría</t>
  </si>
  <si>
    <t>Prioridad</t>
  </si>
  <si>
    <t>Tienda</t>
  </si>
  <si>
    <t>Precio Estimado</t>
  </si>
  <si>
    <t>Precio Real</t>
  </si>
  <si>
    <t>Cantidad</t>
  </si>
  <si>
    <t>Fecha Planeada</t>
  </si>
  <si>
    <t>Estado</t>
  </si>
  <si>
    <t>Método de Pago</t>
  </si>
  <si>
    <t>Notas</t>
  </si>
  <si>
    <t>Laptop</t>
  </si>
  <si>
    <t>Tecnología</t>
  </si>
  <si>
    <t>Alta</t>
  </si>
  <si>
    <t>Amazon</t>
  </si>
  <si>
    <t>Pendiente</t>
  </si>
  <si>
    <t>Tarjeta</t>
  </si>
  <si>
    <t>Para trabajo</t>
  </si>
  <si>
    <t>Escritorio</t>
  </si>
  <si>
    <t>Oficina</t>
  </si>
  <si>
    <t>Media</t>
  </si>
  <si>
    <t>IKEA</t>
  </si>
  <si>
    <t>Efectivo</t>
  </si>
  <si>
    <t>Setup</t>
  </si>
  <si>
    <t>Monitor</t>
  </si>
  <si>
    <t>Programacion</t>
  </si>
  <si>
    <t>Lampara</t>
  </si>
  <si>
    <t xml:space="preserve">Oficina </t>
  </si>
  <si>
    <t>Completado</t>
  </si>
  <si>
    <t>Diferencia</t>
  </si>
  <si>
    <t>Hoja 2 — PRESUPUESTO MENSUAL</t>
  </si>
  <si>
    <t>Presupuesto Mensual</t>
  </si>
  <si>
    <t>Mes</t>
  </si>
  <si>
    <t>Ingreso Esperado</t>
  </si>
  <si>
    <t>Gastos Fijos</t>
  </si>
  <si>
    <t>Gastos Variables</t>
  </si>
  <si>
    <t>Ahorro</t>
  </si>
  <si>
    <t>Inversión Personal</t>
  </si>
  <si>
    <t>Dinero Restante</t>
  </si>
  <si>
    <t>Enero</t>
  </si>
  <si>
    <t>Febrero</t>
  </si>
  <si>
    <t>Marzo</t>
  </si>
  <si>
    <t>Ideas para “Inversión Personal”</t>
  </si>
  <si>
    <t>Aquí pondrás cosas que te ayudan a crecer:</t>
  </si>
  <si>
    <t>Cursos</t>
  </si>
  <si>
    <t>Certificaciones</t>
  </si>
  <si>
    <t>Libros</t>
  </si>
  <si>
    <t>PC</t>
  </si>
  <si>
    <t>Herramientas</t>
  </si>
  <si>
    <t>Internet</t>
  </si>
  <si>
    <t>Metas y Objetivos</t>
  </si>
  <si>
    <t>Objetivo</t>
  </si>
  <si>
    <t>Precio Objetivo</t>
  </si>
  <si>
    <t>Fecha Meta</t>
  </si>
  <si>
    <t>Ahorro Actual</t>
  </si>
  <si>
    <t>Falta</t>
  </si>
  <si>
    <t>En progreso</t>
  </si>
  <si>
    <t>Certificación SQL</t>
  </si>
  <si>
    <t>Setup Oficina</t>
  </si>
  <si>
    <t>Hoja 3 — METAS FINANCIERAS</t>
  </si>
  <si>
    <t>Hoja 4 — CONTROL DE AHORROS</t>
  </si>
  <si>
    <t>Seguimiento de Ahorros</t>
  </si>
  <si>
    <t>Fecha</t>
  </si>
  <si>
    <t>Cantidad Guardada</t>
  </si>
  <si>
    <t>Motivo</t>
  </si>
  <si>
    <t>Total Acumulado</t>
  </si>
  <si>
    <t>Fondo Setup</t>
  </si>
  <si>
    <t>Hoja 5 — PLAN PROFESIONAL</t>
  </si>
  <si>
    <t>Esta hoja te ayudará muchísimo porque estás preparándote para trabajar en tecnología.</t>
  </si>
  <si>
    <t>Roadmap Profesional</t>
  </si>
  <si>
    <t>Habilidad</t>
  </si>
  <si>
    <t>Nivel</t>
  </si>
  <si>
    <t>Fecha Objetivo</t>
  </si>
  <si>
    <t>Recursos</t>
  </si>
  <si>
    <t>SQL</t>
  </si>
  <si>
    <t>Básico</t>
  </si>
  <si>
    <t>GitHub</t>
  </si>
  <si>
    <t>Power BI</t>
  </si>
  <si>
    <t>Ninguno</t>
  </si>
  <si>
    <t>YouTube</t>
  </si>
  <si>
    <t>Pythong</t>
  </si>
  <si>
    <t>Silla de escritorio</t>
  </si>
  <si>
    <t>Cursos + Claude</t>
  </si>
  <si>
    <t>Proyectos,LinkdIn</t>
  </si>
  <si>
    <t>Práctica, Youtube</t>
  </si>
  <si>
    <t>Básico, intermedio</t>
  </si>
  <si>
    <t>Fecha Inicio</t>
  </si>
  <si>
    <t>-</t>
  </si>
  <si>
    <t>may-15,26</t>
  </si>
  <si>
    <t>may-31,26</t>
  </si>
  <si>
    <t>ago-26,26</t>
  </si>
  <si>
    <t>jul-26,26</t>
  </si>
  <si>
    <t>Fecha Dominio</t>
  </si>
  <si>
    <t>Ene'2027</t>
  </si>
  <si>
    <t>Cursos,Kaggle</t>
  </si>
  <si>
    <t>Data Analyst</t>
  </si>
  <si>
    <t>Meta Final</t>
  </si>
  <si>
    <t>Completo</t>
  </si>
  <si>
    <t>A</t>
  </si>
  <si>
    <t>B</t>
  </si>
  <si>
    <t>C</t>
  </si>
  <si>
    <t>D</t>
  </si>
  <si>
    <t>E</t>
  </si>
  <si>
    <t>F</t>
  </si>
  <si>
    <t>Articulo</t>
  </si>
  <si>
    <t xml:space="preserve">Categoria </t>
  </si>
  <si>
    <t>Fecha Compra</t>
  </si>
  <si>
    <t>Precio</t>
  </si>
  <si>
    <t>Proximo Mantenimiento</t>
  </si>
  <si>
    <t>Garantia Hasta</t>
  </si>
  <si>
    <t xml:space="preserve">Estado </t>
  </si>
  <si>
    <t>Lentes</t>
  </si>
  <si>
    <t xml:space="preserve">Salud/Vision </t>
  </si>
  <si>
    <t xml:space="preserve">Lugar de Compra </t>
  </si>
  <si>
    <t xml:space="preserve">Numero de Serie </t>
  </si>
  <si>
    <t xml:space="preserve">Clove EyeWear </t>
  </si>
  <si>
    <t xml:space="preserve">VS AR CLOVE 65037 C9 52 18-142 Gris </t>
  </si>
  <si>
    <r>
      <t>Registro de Activos Personales</t>
    </r>
    <r>
      <rPr>
        <sz val="14"/>
        <color theme="1"/>
        <rFont val="Calibri"/>
        <family val="2"/>
        <scheme val="minor"/>
      </rPr>
      <t>.</t>
    </r>
  </si>
  <si>
    <t xml:space="preserve">Nuevo </t>
  </si>
  <si>
    <t xml:space="preserve">H </t>
  </si>
  <si>
    <t xml:space="preserve">I </t>
  </si>
  <si>
    <t xml:space="preserve">J </t>
  </si>
  <si>
    <t xml:space="preserve">K </t>
  </si>
  <si>
    <t xml:space="preserve">Comprobante/Recibo </t>
  </si>
  <si>
    <t xml:space="preserve">Gastos </t>
  </si>
  <si>
    <t xml:space="preserve">Fecha </t>
  </si>
  <si>
    <t xml:space="preserve">Descripcion </t>
  </si>
  <si>
    <t>Monto RD$</t>
  </si>
  <si>
    <t>JUN 12, 2026</t>
  </si>
  <si>
    <t>JUN 15, 2026</t>
  </si>
  <si>
    <t>Salud</t>
  </si>
  <si>
    <t>Temu</t>
  </si>
  <si>
    <t>Dentista</t>
  </si>
  <si>
    <t xml:space="preserve">Compras online </t>
  </si>
  <si>
    <t xml:space="preserve">Comida </t>
  </si>
  <si>
    <t>Almuerzo</t>
  </si>
  <si>
    <t>JUN , 2026</t>
  </si>
  <si>
    <t xml:space="preserve">Transporte </t>
  </si>
  <si>
    <t xml:space="preserve">Salidas </t>
  </si>
  <si>
    <t xml:space="preserve">Gasto Normal Controlado </t>
  </si>
  <si>
    <t xml:space="preserve">Sin Registro Aun </t>
  </si>
  <si>
    <t>Gasto Mas Elevado, !Cuidad!</t>
  </si>
  <si>
    <t>Total RD$</t>
  </si>
  <si>
    <t>Comida</t>
  </si>
  <si>
    <t>Transporte</t>
  </si>
  <si>
    <t>Otros</t>
  </si>
  <si>
    <t>Compras online</t>
  </si>
  <si>
    <t>Salidas</t>
  </si>
  <si>
    <t xml:space="preserve">Diligencia </t>
  </si>
  <si>
    <t>Fiestas</t>
  </si>
  <si>
    <t>JUN 8, 2027</t>
  </si>
  <si>
    <t>Vision</t>
  </si>
  <si>
    <t>Resumen</t>
  </si>
  <si>
    <t>Registro de Lectura 2026</t>
  </si>
  <si>
    <t>Libro</t>
  </si>
  <si>
    <t>Autor</t>
  </si>
  <si>
    <t xml:space="preserve">Fecha inicio </t>
  </si>
  <si>
    <t>Fecha Fin</t>
  </si>
  <si>
    <t xml:space="preserve">Dias Invertidos </t>
  </si>
  <si>
    <t xml:space="preserve">Leccion Principal </t>
  </si>
  <si>
    <t xml:space="preserve">Calificacion ⭐  </t>
  </si>
  <si>
    <t>#</t>
  </si>
  <si>
    <t xml:space="preserve">Padre Rico, Padre Pobre </t>
  </si>
  <si>
    <t xml:space="preserve">Habitos Atomicos </t>
  </si>
  <si>
    <t xml:space="preserve">Deja de Ser Tu </t>
  </si>
  <si>
    <t>La Psicologia del Dinero</t>
  </si>
  <si>
    <t>Robert Kiyosaki</t>
  </si>
  <si>
    <t xml:space="preserve">James Clear </t>
  </si>
  <si>
    <t xml:space="preserve">Joe Dispenza </t>
  </si>
  <si>
    <t xml:space="preserve">Morgan Housel </t>
  </si>
  <si>
    <t xml:space="preserve">Done </t>
  </si>
  <si>
    <t>Leyendo</t>
  </si>
  <si>
    <t>Utiles de Oficina</t>
  </si>
  <si>
    <t>JUN 18, 2026</t>
  </si>
  <si>
    <t>Suministro</t>
  </si>
  <si>
    <t>JUN 18, 2027</t>
  </si>
  <si>
    <t>Barber-Shop</t>
  </si>
  <si>
    <t>Corte</t>
  </si>
  <si>
    <t xml:space="preserve">Utiles de Oficina </t>
  </si>
  <si>
    <t>Total Dias Leyendo</t>
  </si>
  <si>
    <t>JUN 20, 2026</t>
  </si>
  <si>
    <t>Mini Market</t>
  </si>
  <si>
    <t>JUN 25,2026</t>
  </si>
  <si>
    <t>Farmacia</t>
  </si>
  <si>
    <t>Recarga</t>
  </si>
  <si>
    <t>JUN 29, 2026</t>
  </si>
  <si>
    <t>JUN , 29, 2026</t>
  </si>
  <si>
    <t>Matthias</t>
  </si>
  <si>
    <t>Bebe</t>
  </si>
  <si>
    <t>Dejar de Ser yo de mi pasado, Y crear una nueva identidad</t>
  </si>
  <si>
    <t>Disciplina, Constancia,Persevrancia,Orden</t>
  </si>
  <si>
    <t>Compras</t>
  </si>
  <si>
    <t>Categoria</t>
  </si>
  <si>
    <t>Total RD $</t>
  </si>
  <si>
    <t xml:space="preserve">Total Gastos </t>
  </si>
  <si>
    <t xml:space="preserve">Gatos </t>
  </si>
  <si>
    <t>Mayor Alto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</si>
</sst>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$-409]* #,##0.000_ ;_-[$$-409]* \-#,##0.000\ ;_-[$$-409]* &quot;-&quot;??_ ;_-@_ "/>
    <numFmt numFmtId="166" formatCode="_-* #,##0.0_-;\-* #,##0.0_-;_-* &quot;-&quot;??_-;_-@_-"/>
    <numFmt numFmtId="167" formatCode="_-[$$-2C0A]\ * #,##0.00_-;\-[$$-2C0A]\ * #,##0.00_-;_-[$$-2C0A]\ * &quot;-&quot;??_-;_-@_-"/>
    <numFmt numFmtId="168" formatCode="dd/mm/yyyy;@"/>
    <numFmt numFmtId="169" formatCode="mm/dd/yyyy;@"/>
    <numFmt numFmtId="170" formatCode="#,##0_ ;\-#,##0\ 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b/>
      <sz val="14"/>
      <name val="Book Antiqua"/>
      <family val="1"/>
    </font>
    <font>
      <b/>
      <sz val="11"/>
      <name val="Book Antiqua"/>
      <family val="1"/>
    </font>
    <font>
      <b/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5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7"/>
      <name val="Times New Roman"/>
      <family val="1"/>
    </font>
    <font>
      <b/>
      <sz val="11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C6C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4" fillId="0" borderId="0" applyFont="0" applyFill="0" applyBorder="0" applyAlignment="0" applyProtection="0"/>
  </cellStyleXfs>
  <cellXfs count="1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64" fontId="0" fillId="0" borderId="1" xfId="2" applyNumberFormat="1" applyFont="1" applyBorder="1" applyAlignment="1">
      <alignment vertical="center"/>
    </xf>
    <xf numFmtId="164" fontId="0" fillId="0" borderId="1" xfId="0" applyNumberFormat="1" applyBorder="1">
      <alignment vertical="center"/>
    </xf>
    <xf numFmtId="164" fontId="0" fillId="0" borderId="0" xfId="0" applyNumberForma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6" fontId="0" fillId="0" borderId="1" xfId="2" applyNumberFormat="1" applyFont="1" applyBorder="1" applyAlignme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17" fontId="0" fillId="0" borderId="1" xfId="0" applyNumberFormat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14" fontId="0" fillId="14" borderId="1" xfId="0" applyNumberForma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43" fontId="2" fillId="14" borderId="1" xfId="2" applyFont="1" applyFill="1" applyBorder="1" applyAlignment="1">
      <alignment vertical="center" wrapText="1"/>
    </xf>
    <xf numFmtId="14" fontId="2" fillId="14" borderId="1" xfId="0" applyNumberFormat="1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left" vertical="center" wrapText="1"/>
    </xf>
    <xf numFmtId="14" fontId="2" fillId="14" borderId="1" xfId="0" applyNumberFormat="1" applyFont="1" applyFill="1" applyBorder="1">
      <alignment vertical="center"/>
    </xf>
    <xf numFmtId="0" fontId="2" fillId="14" borderId="1" xfId="0" applyFont="1" applyFill="1" applyBorder="1">
      <alignment vertical="center"/>
    </xf>
    <xf numFmtId="0" fontId="2" fillId="1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4" fontId="0" fillId="14" borderId="1" xfId="0" applyNumberFormat="1" applyFill="1" applyBorder="1" applyAlignment="1">
      <alignment vertical="center" wrapText="1"/>
    </xf>
    <xf numFmtId="167" fontId="0" fillId="14" borderId="1" xfId="0" applyNumberFormat="1" applyFill="1" applyBorder="1" applyAlignment="1">
      <alignment vertical="center" wrapText="1"/>
    </xf>
    <xf numFmtId="0" fontId="9" fillId="12" borderId="0" xfId="0" applyFont="1" applyFill="1" applyAlignment="1">
      <alignment horizontal="center" vertical="center"/>
    </xf>
    <xf numFmtId="1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right" vertical="center" wrapText="1"/>
    </xf>
    <xf numFmtId="17" fontId="0" fillId="0" borderId="1" xfId="0" applyNumberFormat="1" applyBorder="1" applyAlignment="1">
      <alignment horizontal="center" vertical="center"/>
    </xf>
    <xf numFmtId="17" fontId="0" fillId="0" borderId="1" xfId="0" applyNumberFormat="1" applyBorder="1">
      <alignment vertical="center"/>
    </xf>
    <xf numFmtId="0" fontId="2" fillId="0" borderId="0" xfId="0" applyFont="1" applyAlignment="1">
      <alignment horizontal="left" vertical="center"/>
    </xf>
    <xf numFmtId="0" fontId="12" fillId="0" borderId="1" xfId="0" applyFont="1" applyBorder="1">
      <alignment vertical="center"/>
    </xf>
    <xf numFmtId="168" fontId="0" fillId="0" borderId="1" xfId="0" applyNumberFormat="1" applyBorder="1">
      <alignment vertical="center"/>
    </xf>
    <xf numFmtId="168" fontId="0" fillId="0" borderId="1" xfId="0" applyNumberFormat="1" applyBorder="1" applyAlignment="1">
      <alignment vertical="center" wrapText="1"/>
    </xf>
    <xf numFmtId="43" fontId="0" fillId="0" borderId="1" xfId="2" applyFont="1" applyBorder="1" applyAlignment="1">
      <alignment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>
      <alignment vertical="center"/>
    </xf>
    <xf numFmtId="0" fontId="2" fillId="16" borderId="1" xfId="0" applyFont="1" applyFill="1" applyBorder="1" applyAlignment="1">
      <alignment vertical="center" wrapText="1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167" fontId="13" fillId="0" borderId="1" xfId="3" applyNumberFormat="1" applyFont="1" applyBorder="1" applyAlignment="1">
      <alignment vertical="center"/>
    </xf>
    <xf numFmtId="0" fontId="8" fillId="12" borderId="1" xfId="0" applyFont="1" applyFill="1" applyBorder="1">
      <alignment vertical="center"/>
    </xf>
    <xf numFmtId="167" fontId="15" fillId="0" borderId="1" xfId="3" applyNumberFormat="1" applyFont="1" applyBorder="1" applyAlignment="1">
      <alignment vertical="center"/>
    </xf>
    <xf numFmtId="0" fontId="15" fillId="0" borderId="1" xfId="0" applyFont="1" applyBorder="1">
      <alignment vertical="center"/>
    </xf>
    <xf numFmtId="0" fontId="13" fillId="0" borderId="3" xfId="0" applyFont="1" applyBorder="1">
      <alignment vertical="center"/>
    </xf>
    <xf numFmtId="0" fontId="2" fillId="12" borderId="1" xfId="0" applyFont="1" applyFill="1" applyBorder="1">
      <alignment vertical="center"/>
    </xf>
    <xf numFmtId="167" fontId="0" fillId="0" borderId="0" xfId="0" applyNumberFormat="1">
      <alignment vertical="center"/>
    </xf>
    <xf numFmtId="0" fontId="16" fillId="12" borderId="1" xfId="0" applyFont="1" applyFill="1" applyBorder="1">
      <alignment vertical="center"/>
    </xf>
    <xf numFmtId="167" fontId="15" fillId="0" borderId="0" xfId="0" applyNumberFormat="1" applyFont="1">
      <alignment vertical="center"/>
    </xf>
    <xf numFmtId="0" fontId="15" fillId="17" borderId="1" xfId="0" applyFont="1" applyFill="1" applyBorder="1">
      <alignment vertical="center"/>
    </xf>
    <xf numFmtId="167" fontId="15" fillId="14" borderId="1" xfId="0" applyNumberFormat="1" applyFont="1" applyFill="1" applyBorder="1">
      <alignment vertical="center"/>
    </xf>
    <xf numFmtId="0" fontId="0" fillId="0" borderId="0" xfId="0" applyAlignment="1">
      <alignment horizontal="center" vertical="center" wrapText="1"/>
    </xf>
    <xf numFmtId="0" fontId="17" fillId="0" borderId="0" xfId="0" applyFont="1">
      <alignment vertical="center"/>
    </xf>
    <xf numFmtId="14" fontId="0" fillId="0" borderId="0" xfId="0" applyNumberFormat="1">
      <alignment vertical="center"/>
    </xf>
    <xf numFmtId="169" fontId="0" fillId="0" borderId="0" xfId="0" applyNumberFormat="1">
      <alignment vertical="center"/>
    </xf>
    <xf numFmtId="167" fontId="15" fillId="0" borderId="1" xfId="0" applyNumberFormat="1" applyFont="1" applyBorder="1">
      <alignment vertical="center"/>
    </xf>
    <xf numFmtId="0" fontId="16" fillId="17" borderId="1" xfId="0" applyFont="1" applyFill="1" applyBorder="1">
      <alignment vertical="center"/>
    </xf>
    <xf numFmtId="0" fontId="15" fillId="0" borderId="4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69" fontId="18" fillId="0" borderId="0" xfId="0" applyNumberFormat="1" applyFont="1">
      <alignment vertical="center"/>
    </xf>
    <xf numFmtId="14" fontId="18" fillId="0" borderId="0" xfId="0" applyNumberFormat="1" applyFont="1">
      <alignment vertical="center"/>
    </xf>
    <xf numFmtId="0" fontId="20" fillId="0" borderId="0" xfId="0" applyFont="1">
      <alignment vertical="center"/>
    </xf>
    <xf numFmtId="169" fontId="20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0" fontId="21" fillId="18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/>
    </xf>
    <xf numFmtId="169" fontId="21" fillId="19" borderId="1" xfId="0" applyNumberFormat="1" applyFont="1" applyFill="1" applyBorder="1" applyAlignment="1">
      <alignment horizontal="center" vertical="center" wrapText="1"/>
    </xf>
    <xf numFmtId="14" fontId="21" fillId="19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2" fillId="19" borderId="1" xfId="0" applyFont="1" applyFill="1" applyBorder="1">
      <alignment vertical="center"/>
    </xf>
    <xf numFmtId="0" fontId="18" fillId="0" borderId="1" xfId="0" applyFont="1" applyBorder="1" applyAlignment="1">
      <alignment vertical="center" wrapText="1"/>
    </xf>
    <xf numFmtId="168" fontId="18" fillId="0" borderId="1" xfId="0" applyNumberFormat="1" applyFont="1" applyBorder="1">
      <alignment vertical="center"/>
    </xf>
    <xf numFmtId="0" fontId="18" fillId="0" borderId="1" xfId="0" applyFont="1" applyBorder="1">
      <alignment vertical="center"/>
    </xf>
    <xf numFmtId="166" fontId="18" fillId="0" borderId="1" xfId="2" applyNumberFormat="1" applyFont="1" applyBorder="1" applyAlignment="1">
      <alignment vertical="center"/>
    </xf>
    <xf numFmtId="170" fontId="18" fillId="0" borderId="1" xfId="2" applyNumberFormat="1" applyFont="1" applyBorder="1" applyAlignment="1">
      <alignment vertical="center"/>
    </xf>
    <xf numFmtId="169" fontId="18" fillId="0" borderId="1" xfId="0" applyNumberFormat="1" applyFont="1" applyBorder="1">
      <alignment vertical="center"/>
    </xf>
    <xf numFmtId="1" fontId="18" fillId="0" borderId="1" xfId="2" applyNumberFormat="1" applyFont="1" applyBorder="1" applyAlignment="1">
      <alignment vertical="center"/>
    </xf>
    <xf numFmtId="168" fontId="18" fillId="0" borderId="1" xfId="0" applyNumberFormat="1" applyFont="1" applyBorder="1" applyAlignment="1">
      <alignment horizontal="center" vertical="center"/>
    </xf>
    <xf numFmtId="1" fontId="18" fillId="0" borderId="1" xfId="0" applyNumberFormat="1" applyFont="1" applyBorder="1">
      <alignment vertical="center"/>
    </xf>
    <xf numFmtId="169" fontId="18" fillId="0" borderId="1" xfId="0" applyNumberFormat="1" applyFont="1" applyBorder="1" applyAlignment="1">
      <alignment horizontal="center" vertical="center"/>
    </xf>
    <xf numFmtId="168" fontId="18" fillId="0" borderId="0" xfId="0" applyNumberFormat="1" applyFont="1">
      <alignment vertical="center"/>
    </xf>
    <xf numFmtId="0" fontId="23" fillId="0" borderId="0" xfId="0" applyFont="1">
      <alignment vertical="center"/>
    </xf>
    <xf numFmtId="168" fontId="23" fillId="0" borderId="1" xfId="0" applyNumberFormat="1" applyFont="1" applyBorder="1">
      <alignment vertical="center"/>
    </xf>
    <xf numFmtId="0" fontId="23" fillId="0" borderId="1" xfId="0" applyFont="1" applyBorder="1">
      <alignment vertical="center"/>
    </xf>
    <xf numFmtId="167" fontId="23" fillId="0" borderId="1" xfId="3" applyNumberFormat="1" applyFont="1" applyBorder="1" applyAlignment="1">
      <alignment vertical="center"/>
    </xf>
    <xf numFmtId="167" fontId="23" fillId="0" borderId="1" xfId="0" applyNumberFormat="1" applyFont="1" applyBorder="1">
      <alignment vertical="center"/>
    </xf>
    <xf numFmtId="0" fontId="24" fillId="0" borderId="0" xfId="0" applyFont="1">
      <alignment vertical="center"/>
    </xf>
    <xf numFmtId="17" fontId="23" fillId="0" borderId="0" xfId="0" applyNumberFormat="1" applyFont="1">
      <alignment vertical="center"/>
    </xf>
    <xf numFmtId="0" fontId="25" fillId="20" borderId="1" xfId="0" applyFont="1" applyFill="1" applyBorder="1">
      <alignment vertical="center"/>
    </xf>
    <xf numFmtId="0" fontId="24" fillId="21" borderId="0" xfId="0" applyFont="1" applyFill="1">
      <alignment vertical="center"/>
    </xf>
    <xf numFmtId="0" fontId="15" fillId="17" borderId="0" xfId="0" applyFont="1" applyFill="1">
      <alignment vertical="center"/>
    </xf>
    <xf numFmtId="0" fontId="8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4">
    <cellStyle name="Millares" xfId="2" builtinId="3"/>
    <cellStyle name="Moneda" xfId="3" builtinId="4"/>
    <cellStyle name="Normal" xfId="0" builtinId="0"/>
    <cellStyle name="Porcentaje" xfId="1" builtinId="5"/>
  </cellStyles>
  <dxfs count="1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ENERO</c:v>
              </c:pt>
              <c:pt idx="1">
                <c:v> FEBRERO</c:v>
              </c:pt>
            </c:strLit>
          </c:cat>
          <c:val>
            <c:numRef>
              <c:f>'Junio-2026'!$D$20:$D$28</c:f>
              <c:numCache>
                <c:formatCode>_-[$$-409]* #,##0.00_ ;_-[$$-409]* \-#,##0.00\ ;_-[$$-409]* "-"??_ ;_-@_ </c:formatCode>
                <c:ptCount val="9"/>
                <c:pt idx="0">
                  <c:v>2500000</c:v>
                </c:pt>
                <c:pt idx="1">
                  <c:v>3500000</c:v>
                </c:pt>
                <c:pt idx="2">
                  <c:v>210000</c:v>
                </c:pt>
                <c:pt idx="3">
                  <c:v>250000.00000000003</c:v>
                </c:pt>
                <c:pt idx="4">
                  <c:v>280000</c:v>
                </c:pt>
                <c:pt idx="5">
                  <c:v>350000</c:v>
                </c:pt>
                <c:pt idx="6">
                  <c:v>380000</c:v>
                </c:pt>
                <c:pt idx="7">
                  <c:v>480000</c:v>
                </c:pt>
                <c:pt idx="8">
                  <c:v>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1-49A9-9CEC-EA86A03849C9}"/>
            </c:ext>
          </c:extLst>
        </c:ser>
        <c:ser>
          <c:idx val="2"/>
          <c:order val="1"/>
          <c:tx>
            <c:strRef>
              <c:f>'Junio-2026'!$A$34:$A$42</c:f>
              <c:strCache>
                <c:ptCount val="9"/>
                <c:pt idx="0">
                  <c:v>Carlos Almonte</c:v>
                </c:pt>
                <c:pt idx="1">
                  <c:v>Manuela Cirena</c:v>
                </c:pt>
                <c:pt idx="2">
                  <c:v>Carmen Hernandez</c:v>
                </c:pt>
                <c:pt idx="3">
                  <c:v>Pedro Acosta</c:v>
                </c:pt>
                <c:pt idx="4">
                  <c:v>Albert Diaz </c:v>
                </c:pt>
                <c:pt idx="5">
                  <c:v>Eddy Abreu </c:v>
                </c:pt>
                <c:pt idx="6">
                  <c:v>Thiago Rincon </c:v>
                </c:pt>
                <c:pt idx="7">
                  <c:v>Francy Ortiz </c:v>
                </c:pt>
                <c:pt idx="8">
                  <c:v>Fernanda Abreu 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ENERO</c:v>
              </c:pt>
              <c:pt idx="1">
                <c:v> FEBRERO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2201-49A9-9CEC-EA86A03849C9}"/>
            </c:ext>
          </c:extLst>
        </c:ser>
        <c:ser>
          <c:idx val="3"/>
          <c:order val="2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ENERO</c:v>
              </c:pt>
              <c:pt idx="1">
                <c:v> FEBRERO</c:v>
              </c:pt>
            </c:strLit>
          </c:cat>
          <c:val>
            <c:numRef>
              <c:f>'Junio-2026'!$D$34:$D$42</c:f>
              <c:numCache>
                <c:formatCode>_-[$$-409]* #,##0.00_ ;_-[$$-409]* \-#,##0.00\ ;_-[$$-409]* "-"??_ ;_-@_ </c:formatCode>
                <c:ptCount val="9"/>
                <c:pt idx="0">
                  <c:v>3000000</c:v>
                </c:pt>
                <c:pt idx="1">
                  <c:v>2100000</c:v>
                </c:pt>
                <c:pt idx="2">
                  <c:v>2000000.0000000002</c:v>
                </c:pt>
                <c:pt idx="3">
                  <c:v>1500000</c:v>
                </c:pt>
                <c:pt idx="4">
                  <c:v>4166666.6666666665</c:v>
                </c:pt>
                <c:pt idx="5">
                  <c:v>5500000</c:v>
                </c:pt>
                <c:pt idx="6">
                  <c:v>6500000</c:v>
                </c:pt>
                <c:pt idx="7">
                  <c:v>5833333.333333334</c:v>
                </c:pt>
                <c:pt idx="8">
                  <c:v>6250000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01-49A9-9CEC-EA86A03849C9}"/>
            </c:ext>
          </c:extLst>
        </c:ser>
        <c:ser>
          <c:idx val="0"/>
          <c:order val="3"/>
          <c:tx>
            <c:strRef>
              <c:f>'Junio-2026'!$A$20:$A$28</c:f>
              <c:strCache>
                <c:ptCount val="9"/>
                <c:pt idx="0">
                  <c:v>Carlos Almonte</c:v>
                </c:pt>
                <c:pt idx="1">
                  <c:v>Manuela Cirena</c:v>
                </c:pt>
                <c:pt idx="2">
                  <c:v>Carmen Hernandez</c:v>
                </c:pt>
                <c:pt idx="3">
                  <c:v>Pedro Acosta</c:v>
                </c:pt>
                <c:pt idx="4">
                  <c:v>Albert Diaz </c:v>
                </c:pt>
                <c:pt idx="5">
                  <c:v>Eddy Abreu </c:v>
                </c:pt>
                <c:pt idx="6">
                  <c:v>Thiago Rincon </c:v>
                </c:pt>
                <c:pt idx="7">
                  <c:v>Francy Ortiz </c:v>
                </c:pt>
                <c:pt idx="8">
                  <c:v>Fernanda Abreu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ENERO</c:v>
              </c:pt>
              <c:pt idx="1">
                <c:v> FEBRERO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2201-49A9-9CEC-EA86A0384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5456479"/>
        <c:axId val="2055442559"/>
      </c:barChart>
      <c:catAx>
        <c:axId val="20554564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42559"/>
        <c:crosses val="autoZero"/>
        <c:auto val="1"/>
        <c:lblAlgn val="ctr"/>
        <c:lblOffset val="100"/>
        <c:noMultiLvlLbl val="0"/>
      </c:catAx>
      <c:valAx>
        <c:axId val="205544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5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60622085529996"/>
          <c:y val="0.40116999543822762"/>
          <c:w val="0.3332889827451348"/>
          <c:h val="0.27959935738511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179456</xdr:colOff>
      <xdr:row>75</xdr:row>
      <xdr:rowOff>132522</xdr:rowOff>
    </xdr:from>
    <xdr:to>
      <xdr:col>23</xdr:col>
      <xdr:colOff>563216</xdr:colOff>
      <xdr:row>110</xdr:row>
      <xdr:rowOff>176694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F8EA6A-1C31-3033-B60C-A1B29F5C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1630" y="18453652"/>
          <a:ext cx="6468716" cy="8624955"/>
        </a:xfrm>
        <a:prstGeom prst="rect">
          <a:avLst/>
        </a:prstGeom>
      </xdr:spPr>
    </xdr:pic>
    <xdr:clientData/>
  </xdr:twoCellAnchor>
  <xdr:twoCellAnchor editAs="oneCell">
    <xdr:from>
      <xdr:col>8</xdr:col>
      <xdr:colOff>179454</xdr:colOff>
      <xdr:row>80</xdr:row>
      <xdr:rowOff>198781</xdr:rowOff>
    </xdr:from>
    <xdr:to>
      <xdr:col>8</xdr:col>
      <xdr:colOff>1391478</xdr:colOff>
      <xdr:row>80</xdr:row>
      <xdr:rowOff>1814814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F8AC32-6FD9-6023-D01B-83CE15836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2063" y="19679477"/>
          <a:ext cx="1212024" cy="16160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906600</xdr:colOff>
      <xdr:row>11</xdr:row>
      <xdr:rowOff>98940</xdr:rowOff>
    </xdr:from>
    <xdr:to>
      <xdr:col>2</xdr:col>
      <xdr:colOff>906960</xdr:colOff>
      <xdr:row>11</xdr:row>
      <xdr:rowOff>99300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FF1B5F9-3B6B-3100-9C0E-B8DC28F35D9A}"/>
                </a:ext>
              </a:extLst>
            </xdr14:cNvPr>
            <xdr14:cNvContentPartPr/>
          </xdr14:nvContentPartPr>
          <xdr14:nvPr macro=""/>
          <xdr14:xfrm>
            <a:off x="3451680" y="216396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FF1B5F9-3B6B-3100-9C0E-B8DC28F35D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442680" y="21553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359832</xdr:colOff>
      <xdr:row>3</xdr:row>
      <xdr:rowOff>21167</xdr:rowOff>
    </xdr:from>
    <xdr:to>
      <xdr:col>20</xdr:col>
      <xdr:colOff>332315</xdr:colOff>
      <xdr:row>30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167A57-5C6A-E71A-4681-5E6EE6AB6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1T20:53:02.295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1016"/>
      <inkml:brushProperty name="anchorY" value="-1016"/>
      <inkml:brushProperty name="scaleFactor" value="0.5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AC75-1258-4F5B-8926-C1F345A2AD27}">
  <dimension ref="A2:R81"/>
  <sheetViews>
    <sheetView zoomScale="69" zoomScaleNormal="69" workbookViewId="0">
      <selection activeCell="A33" sqref="A33:L33"/>
    </sheetView>
  </sheetViews>
  <sheetFormatPr baseColWidth="10" defaultColWidth="8.88671875" defaultRowHeight="14.4" x14ac:dyDescent="0.3"/>
  <cols>
    <col min="1" max="1" width="11.109375" customWidth="1"/>
    <col min="2" max="2" width="14.5546875" customWidth="1"/>
    <col min="3" max="3" width="11.5546875" customWidth="1"/>
    <col min="4" max="4" width="13.88671875" bestFit="1" customWidth="1"/>
    <col min="5" max="6" width="11.5546875" customWidth="1"/>
    <col min="7" max="7" width="14.77734375" customWidth="1"/>
    <col min="8" max="8" width="13.21875" bestFit="1" customWidth="1"/>
    <col min="9" max="9" width="21.44140625" customWidth="1"/>
    <col min="10" max="10" width="15.33203125" customWidth="1"/>
    <col min="11" max="11" width="9" bestFit="1" customWidth="1"/>
    <col min="13" max="13" width="11.77734375" customWidth="1"/>
    <col min="14" max="14" width="9" bestFit="1" customWidth="1"/>
    <col min="15" max="15" width="10.77734375" bestFit="1" customWidth="1"/>
    <col min="16" max="16" width="12.33203125" customWidth="1"/>
    <col min="18" max="18" width="12.33203125" bestFit="1" customWidth="1"/>
  </cols>
  <sheetData>
    <row r="2" spans="1:18" ht="31.2" x14ac:dyDescent="0.3">
      <c r="A2" s="15" t="s">
        <v>44</v>
      </c>
    </row>
    <row r="4" spans="1:18" ht="23.4" x14ac:dyDescent="0.3">
      <c r="A4" s="16" t="s">
        <v>45</v>
      </c>
    </row>
    <row r="6" spans="1:18" ht="31.2" x14ac:dyDescent="0.3">
      <c r="A6" s="116" t="s">
        <v>46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</row>
    <row r="8" spans="1:18" ht="28.8" x14ac:dyDescent="0.3">
      <c r="A8" s="34" t="s">
        <v>47</v>
      </c>
      <c r="B8" s="34" t="s">
        <v>48</v>
      </c>
      <c r="C8" s="34" t="s">
        <v>49</v>
      </c>
      <c r="D8" s="34"/>
      <c r="E8" s="34"/>
      <c r="F8" s="34"/>
      <c r="G8" s="34"/>
      <c r="H8" s="34" t="s">
        <v>50</v>
      </c>
      <c r="I8" s="34"/>
      <c r="J8" s="34" t="s">
        <v>51</v>
      </c>
      <c r="K8" s="34" t="s">
        <v>52</v>
      </c>
      <c r="L8" s="34" t="s">
        <v>53</v>
      </c>
      <c r="M8" s="34" t="s">
        <v>77</v>
      </c>
      <c r="N8" s="34" t="s">
        <v>54</v>
      </c>
      <c r="O8" s="34" t="s">
        <v>55</v>
      </c>
      <c r="P8" s="34" t="s">
        <v>56</v>
      </c>
      <c r="Q8" s="34" t="s">
        <v>57</v>
      </c>
      <c r="R8" s="34" t="s">
        <v>58</v>
      </c>
    </row>
    <row r="9" spans="1:18" x14ac:dyDescent="0.3">
      <c r="A9" s="26">
        <v>1</v>
      </c>
      <c r="B9" s="27" t="s">
        <v>59</v>
      </c>
      <c r="C9" s="27" t="s">
        <v>60</v>
      </c>
      <c r="D9" s="27"/>
      <c r="E9" s="27"/>
      <c r="F9" s="27"/>
      <c r="G9" s="27"/>
      <c r="H9" s="27" t="s">
        <v>61</v>
      </c>
      <c r="I9" s="27"/>
      <c r="J9" s="27" t="s">
        <v>62</v>
      </c>
      <c r="K9" s="28">
        <v>900</v>
      </c>
      <c r="L9" s="28">
        <v>1200</v>
      </c>
      <c r="M9" s="28"/>
      <c r="N9" s="27">
        <v>1</v>
      </c>
      <c r="O9" s="29">
        <v>46244</v>
      </c>
      <c r="P9" s="27" t="s">
        <v>63</v>
      </c>
      <c r="Q9" s="27" t="s">
        <v>64</v>
      </c>
      <c r="R9" s="30" t="s">
        <v>65</v>
      </c>
    </row>
    <row r="10" spans="1:18" x14ac:dyDescent="0.3">
      <c r="A10" s="26">
        <v>2</v>
      </c>
      <c r="B10" s="27" t="s">
        <v>66</v>
      </c>
      <c r="C10" s="27" t="s">
        <v>67</v>
      </c>
      <c r="D10" s="27"/>
      <c r="E10" s="27"/>
      <c r="F10" s="27"/>
      <c r="G10" s="27"/>
      <c r="H10" s="27" t="s">
        <v>68</v>
      </c>
      <c r="I10" s="27"/>
      <c r="J10" s="27" t="s">
        <v>69</v>
      </c>
      <c r="K10" s="28">
        <v>150</v>
      </c>
      <c r="L10" s="28">
        <v>250</v>
      </c>
      <c r="M10" s="28"/>
      <c r="N10" s="27">
        <v>1</v>
      </c>
      <c r="O10" s="29">
        <v>46249</v>
      </c>
      <c r="P10" s="27" t="s">
        <v>63</v>
      </c>
      <c r="Q10" s="27" t="s">
        <v>70</v>
      </c>
      <c r="R10" s="30" t="s">
        <v>71</v>
      </c>
    </row>
    <row r="11" spans="1:18" x14ac:dyDescent="0.3">
      <c r="A11" s="26">
        <v>3</v>
      </c>
      <c r="B11" s="27" t="s">
        <v>72</v>
      </c>
      <c r="C11" s="27" t="s">
        <v>60</v>
      </c>
      <c r="D11" s="27"/>
      <c r="E11" s="27"/>
      <c r="F11" s="27"/>
      <c r="G11" s="27"/>
      <c r="H11" s="27" t="s">
        <v>61</v>
      </c>
      <c r="I11" s="27"/>
      <c r="J11" s="27" t="s">
        <v>62</v>
      </c>
      <c r="K11" s="28">
        <v>250</v>
      </c>
      <c r="L11" s="28">
        <v>275</v>
      </c>
      <c r="M11" s="28"/>
      <c r="N11" s="27">
        <v>1</v>
      </c>
      <c r="O11" s="31">
        <v>46254</v>
      </c>
      <c r="P11" s="27" t="s">
        <v>63</v>
      </c>
      <c r="Q11" s="32" t="s">
        <v>64</v>
      </c>
      <c r="R11" s="33" t="s">
        <v>73</v>
      </c>
    </row>
    <row r="12" spans="1:18" x14ac:dyDescent="0.3">
      <c r="A12" s="26">
        <v>4</v>
      </c>
      <c r="B12" s="27" t="s">
        <v>74</v>
      </c>
      <c r="C12" s="27" t="s">
        <v>75</v>
      </c>
      <c r="D12" s="27"/>
      <c r="E12" s="27"/>
      <c r="F12" s="27"/>
      <c r="G12" s="27"/>
      <c r="H12" s="27" t="s">
        <v>61</v>
      </c>
      <c r="I12" s="27"/>
      <c r="J12" s="27" t="s">
        <v>69</v>
      </c>
      <c r="K12" s="28">
        <v>1500</v>
      </c>
      <c r="L12" s="28">
        <v>1575</v>
      </c>
      <c r="M12" s="28">
        <v>75</v>
      </c>
      <c r="N12" s="27">
        <v>1</v>
      </c>
      <c r="O12" s="31">
        <v>46175</v>
      </c>
      <c r="P12" s="27" t="s">
        <v>76</v>
      </c>
      <c r="Q12" s="32" t="s">
        <v>64</v>
      </c>
      <c r="R12" s="32" t="s">
        <v>71</v>
      </c>
    </row>
    <row r="16" spans="1:18" ht="31.2" x14ac:dyDescent="0.3">
      <c r="A16" s="15" t="s">
        <v>78</v>
      </c>
    </row>
    <row r="18" spans="1:14" ht="23.4" x14ac:dyDescent="0.3">
      <c r="A18" s="16" t="s">
        <v>45</v>
      </c>
    </row>
    <row r="20" spans="1:14" ht="31.2" x14ac:dyDescent="0.3">
      <c r="A20" s="117" t="s">
        <v>79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N20" s="16" t="s">
        <v>90</v>
      </c>
    </row>
    <row r="21" spans="1:1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4" ht="28.8" x14ac:dyDescent="0.3">
      <c r="A22" s="19" t="s">
        <v>80</v>
      </c>
      <c r="B22" s="19" t="s">
        <v>81</v>
      </c>
      <c r="C22" s="19" t="s">
        <v>82</v>
      </c>
      <c r="D22" s="19"/>
      <c r="E22" s="19"/>
      <c r="F22" s="19"/>
      <c r="G22" s="19"/>
      <c r="H22" s="19" t="s">
        <v>83</v>
      </c>
      <c r="I22" s="19"/>
      <c r="J22" s="19" t="s">
        <v>84</v>
      </c>
      <c r="K22" s="19" t="s">
        <v>85</v>
      </c>
      <c r="L22" s="19" t="s">
        <v>86</v>
      </c>
      <c r="N22" t="s">
        <v>91</v>
      </c>
    </row>
    <row r="23" spans="1:14" x14ac:dyDescent="0.3">
      <c r="A23" s="24" t="s">
        <v>87</v>
      </c>
      <c r="B23" s="24">
        <v>0</v>
      </c>
      <c r="C23" s="24">
        <v>0</v>
      </c>
      <c r="D23" s="24"/>
      <c r="E23" s="24"/>
      <c r="F23" s="24"/>
      <c r="G23" s="24"/>
      <c r="H23" s="24">
        <v>0</v>
      </c>
      <c r="I23" s="24"/>
      <c r="J23" s="24">
        <v>0</v>
      </c>
      <c r="K23" s="24">
        <v>0</v>
      </c>
      <c r="L23" s="24">
        <v>0</v>
      </c>
      <c r="N23" s="20"/>
    </row>
    <row r="24" spans="1:14" x14ac:dyDescent="0.3">
      <c r="A24" s="24" t="s">
        <v>88</v>
      </c>
      <c r="B24" s="24">
        <v>0</v>
      </c>
      <c r="C24" s="24">
        <v>0</v>
      </c>
      <c r="D24" s="24"/>
      <c r="E24" s="24"/>
      <c r="F24" s="24"/>
      <c r="G24" s="24"/>
      <c r="H24" s="24">
        <v>0</v>
      </c>
      <c r="I24" s="24"/>
      <c r="J24" s="24">
        <v>0</v>
      </c>
      <c r="K24" s="24">
        <v>0</v>
      </c>
      <c r="L24" s="24">
        <v>0</v>
      </c>
      <c r="N24" s="20" t="s">
        <v>92</v>
      </c>
    </row>
    <row r="25" spans="1:14" x14ac:dyDescent="0.3">
      <c r="A25" s="24" t="s">
        <v>89</v>
      </c>
      <c r="B25" s="24">
        <v>0</v>
      </c>
      <c r="C25" s="24">
        <v>0</v>
      </c>
      <c r="D25" s="24"/>
      <c r="E25" s="24"/>
      <c r="F25" s="24"/>
      <c r="G25" s="24"/>
      <c r="H25" s="24">
        <v>0</v>
      </c>
      <c r="I25" s="24"/>
      <c r="J25" s="24">
        <v>0</v>
      </c>
      <c r="K25" s="24">
        <v>0</v>
      </c>
      <c r="L25" s="24">
        <v>0</v>
      </c>
      <c r="N25" s="20" t="s">
        <v>93</v>
      </c>
    </row>
    <row r="26" spans="1:14" x14ac:dyDescent="0.3">
      <c r="N26" s="20" t="s">
        <v>94</v>
      </c>
    </row>
    <row r="27" spans="1:14" x14ac:dyDescent="0.3">
      <c r="N27" s="20" t="s">
        <v>95</v>
      </c>
    </row>
    <row r="28" spans="1:14" x14ac:dyDescent="0.3">
      <c r="N28" s="20" t="s">
        <v>96</v>
      </c>
    </row>
    <row r="29" spans="1:14" x14ac:dyDescent="0.3">
      <c r="N29" s="20" t="s">
        <v>97</v>
      </c>
    </row>
    <row r="30" spans="1:14" x14ac:dyDescent="0.3">
      <c r="N30" s="20" t="s">
        <v>71</v>
      </c>
    </row>
    <row r="33" spans="1:12" ht="31.2" x14ac:dyDescent="0.3">
      <c r="A33" s="118" t="s">
        <v>107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</row>
    <row r="35" spans="1:12" ht="23.4" x14ac:dyDescent="0.3">
      <c r="A35" s="16" t="s">
        <v>45</v>
      </c>
    </row>
    <row r="37" spans="1:12" ht="31.2" x14ac:dyDescent="0.3">
      <c r="A37" s="119" t="s">
        <v>98</v>
      </c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</row>
    <row r="39" spans="1:12" x14ac:dyDescent="0.3">
      <c r="A39" s="35" t="s">
        <v>99</v>
      </c>
      <c r="B39" s="35" t="s">
        <v>100</v>
      </c>
      <c r="C39" s="35" t="s">
        <v>101</v>
      </c>
      <c r="D39" s="35"/>
      <c r="E39" s="35"/>
      <c r="F39" s="35" t="s">
        <v>50</v>
      </c>
      <c r="G39" s="35" t="s">
        <v>56</v>
      </c>
      <c r="H39" s="35" t="s">
        <v>102</v>
      </c>
      <c r="I39" s="35"/>
      <c r="J39" s="35" t="s">
        <v>103</v>
      </c>
    </row>
    <row r="40" spans="1:12" ht="28.8" x14ac:dyDescent="0.3">
      <c r="A40" s="18" t="s">
        <v>129</v>
      </c>
      <c r="B40" s="37">
        <v>6500</v>
      </c>
      <c r="C40" s="21">
        <v>46357</v>
      </c>
      <c r="D40" s="21"/>
      <c r="E40" s="21"/>
      <c r="F40" s="18" t="s">
        <v>61</v>
      </c>
      <c r="G40" s="18" t="s">
        <v>104</v>
      </c>
      <c r="H40" s="36">
        <v>100</v>
      </c>
      <c r="I40" s="36"/>
      <c r="J40" s="36">
        <v>50</v>
      </c>
    </row>
    <row r="41" spans="1:12" ht="28.8" x14ac:dyDescent="0.3">
      <c r="A41" s="18" t="s">
        <v>105</v>
      </c>
      <c r="B41" s="37">
        <v>120</v>
      </c>
      <c r="C41" s="21">
        <v>46296</v>
      </c>
      <c r="D41" s="21"/>
      <c r="E41" s="21"/>
      <c r="F41" s="18" t="s">
        <v>61</v>
      </c>
      <c r="G41" s="18" t="s">
        <v>63</v>
      </c>
      <c r="H41" s="18">
        <v>0</v>
      </c>
      <c r="I41" s="18"/>
      <c r="J41" s="18">
        <v>1250</v>
      </c>
    </row>
    <row r="42" spans="1:12" ht="28.8" x14ac:dyDescent="0.3">
      <c r="A42" s="18" t="s">
        <v>106</v>
      </c>
      <c r="B42" s="37">
        <v>20000</v>
      </c>
      <c r="C42" s="21">
        <v>46388</v>
      </c>
      <c r="D42" s="21"/>
      <c r="E42" s="21"/>
      <c r="F42" s="18" t="s">
        <v>68</v>
      </c>
      <c r="G42" s="18" t="s">
        <v>63</v>
      </c>
      <c r="H42" s="2">
        <v>50</v>
      </c>
      <c r="I42" s="2"/>
      <c r="J42" s="18">
        <v>450</v>
      </c>
    </row>
    <row r="47" spans="1:12" ht="31.2" x14ac:dyDescent="0.3">
      <c r="A47" s="15" t="s">
        <v>108</v>
      </c>
    </row>
    <row r="49" spans="1:9" ht="23.4" x14ac:dyDescent="0.3">
      <c r="A49" s="16" t="s">
        <v>45</v>
      </c>
    </row>
    <row r="51" spans="1:9" ht="31.2" x14ac:dyDescent="0.3">
      <c r="A51" s="120" t="s">
        <v>109</v>
      </c>
      <c r="B51" s="120"/>
      <c r="C51" s="120"/>
      <c r="D51" s="120"/>
      <c r="E51" s="120"/>
      <c r="F51" s="120"/>
      <c r="G51" s="120"/>
      <c r="H51" s="120"/>
      <c r="I51" s="40"/>
    </row>
    <row r="53" spans="1:9" ht="28.8" x14ac:dyDescent="0.3">
      <c r="A53" s="22" t="s">
        <v>110</v>
      </c>
      <c r="B53" s="22" t="s">
        <v>111</v>
      </c>
      <c r="C53" s="22" t="s">
        <v>112</v>
      </c>
      <c r="D53" s="22"/>
      <c r="E53" s="22"/>
      <c r="F53" s="22" t="s">
        <v>113</v>
      </c>
    </row>
    <row r="54" spans="1:9" x14ac:dyDescent="0.3">
      <c r="A54" s="25">
        <v>46174</v>
      </c>
      <c r="B54" s="38">
        <v>850</v>
      </c>
      <c r="C54" s="24" t="s">
        <v>66</v>
      </c>
      <c r="D54" s="24"/>
      <c r="E54" s="24"/>
      <c r="F54" s="39">
        <v>300</v>
      </c>
    </row>
    <row r="55" spans="1:9" x14ac:dyDescent="0.3">
      <c r="A55" s="25">
        <v>46387</v>
      </c>
      <c r="B55" s="24">
        <v>0</v>
      </c>
      <c r="C55" s="24" t="s">
        <v>114</v>
      </c>
      <c r="D55" s="24"/>
      <c r="E55" s="24"/>
      <c r="F55" s="38">
        <v>50</v>
      </c>
    </row>
    <row r="60" spans="1:9" ht="31.2" x14ac:dyDescent="0.3">
      <c r="A60" s="15" t="s">
        <v>115</v>
      </c>
    </row>
    <row r="62" spans="1:9" x14ac:dyDescent="0.3">
      <c r="A62" t="s">
        <v>116</v>
      </c>
    </row>
    <row r="64" spans="1:9" ht="23.4" x14ac:dyDescent="0.3">
      <c r="A64" s="16" t="s">
        <v>45</v>
      </c>
    </row>
    <row r="66" spans="1:10" ht="31.2" x14ac:dyDescent="0.3">
      <c r="A66" s="115" t="s">
        <v>117</v>
      </c>
      <c r="B66" s="115"/>
      <c r="C66" s="115"/>
      <c r="D66" s="115"/>
      <c r="E66" s="115"/>
      <c r="F66" s="115"/>
      <c r="G66" s="115"/>
      <c r="H66" s="115"/>
      <c r="I66" s="115"/>
      <c r="J66" s="115"/>
    </row>
    <row r="68" spans="1:10" ht="28.8" x14ac:dyDescent="0.3">
      <c r="A68" s="23" t="s">
        <v>118</v>
      </c>
      <c r="B68" s="23" t="s">
        <v>56</v>
      </c>
      <c r="C68" s="23" t="s">
        <v>119</v>
      </c>
      <c r="D68" s="23"/>
      <c r="E68" s="23"/>
      <c r="F68" s="23" t="s">
        <v>134</v>
      </c>
      <c r="G68" s="23" t="s">
        <v>120</v>
      </c>
      <c r="H68" s="23" t="s">
        <v>140</v>
      </c>
      <c r="I68" s="23"/>
      <c r="J68" s="23" t="s">
        <v>121</v>
      </c>
    </row>
    <row r="69" spans="1:10" ht="28.8" x14ac:dyDescent="0.3">
      <c r="A69" s="18" t="s">
        <v>122</v>
      </c>
      <c r="B69" s="18" t="s">
        <v>104</v>
      </c>
      <c r="C69" s="17" t="s">
        <v>133</v>
      </c>
      <c r="D69" s="17"/>
      <c r="E69" s="17"/>
      <c r="F69" s="43" t="s">
        <v>136</v>
      </c>
      <c r="G69" s="43" t="s">
        <v>138</v>
      </c>
      <c r="H69" s="21" t="s">
        <v>141</v>
      </c>
      <c r="I69" s="21"/>
      <c r="J69" s="17" t="s">
        <v>130</v>
      </c>
    </row>
    <row r="70" spans="1:10" x14ac:dyDescent="0.3">
      <c r="A70" s="18" t="s">
        <v>124</v>
      </c>
      <c r="B70" s="18" t="s">
        <v>104</v>
      </c>
      <c r="C70" s="18" t="s">
        <v>123</v>
      </c>
      <c r="D70" s="18"/>
      <c r="E70" s="18"/>
      <c r="F70" s="43" t="s">
        <v>137</v>
      </c>
      <c r="G70" s="43" t="s">
        <v>139</v>
      </c>
      <c r="H70" s="21">
        <v>46266</v>
      </c>
      <c r="I70" s="21"/>
      <c r="J70" s="17" t="s">
        <v>131</v>
      </c>
    </row>
    <row r="71" spans="1:10" x14ac:dyDescent="0.3">
      <c r="A71" s="18" t="s">
        <v>31</v>
      </c>
      <c r="B71" s="18" t="s">
        <v>104</v>
      </c>
      <c r="C71" s="18" t="s">
        <v>123</v>
      </c>
      <c r="D71" s="18"/>
      <c r="E71" s="18"/>
      <c r="F71" s="43" t="s">
        <v>137</v>
      </c>
      <c r="G71" s="21">
        <v>47696</v>
      </c>
      <c r="H71" s="21">
        <v>46327</v>
      </c>
      <c r="I71" s="21"/>
      <c r="J71" s="17" t="s">
        <v>132</v>
      </c>
    </row>
    <row r="72" spans="1:10" x14ac:dyDescent="0.3">
      <c r="A72" s="18" t="s">
        <v>125</v>
      </c>
      <c r="B72" s="18" t="s">
        <v>63</v>
      </c>
      <c r="C72" s="18" t="s">
        <v>126</v>
      </c>
      <c r="D72" s="18"/>
      <c r="E72" s="18"/>
      <c r="F72" s="41">
        <v>46296</v>
      </c>
      <c r="G72" s="17"/>
      <c r="H72" s="41">
        <v>46388</v>
      </c>
      <c r="I72" s="41"/>
      <c r="J72" s="17" t="s">
        <v>127</v>
      </c>
    </row>
    <row r="73" spans="1:10" x14ac:dyDescent="0.3">
      <c r="A73" s="18" t="s">
        <v>128</v>
      </c>
      <c r="B73" s="18" t="s">
        <v>63</v>
      </c>
      <c r="C73" s="18" t="s">
        <v>126</v>
      </c>
      <c r="D73" s="18"/>
      <c r="E73" s="18"/>
      <c r="F73" s="41">
        <v>46388</v>
      </c>
      <c r="G73" s="43">
        <v>46447</v>
      </c>
      <c r="H73" s="44">
        <v>46539</v>
      </c>
      <c r="I73" s="44"/>
      <c r="J73" s="42" t="s">
        <v>142</v>
      </c>
    </row>
    <row r="74" spans="1:10" ht="15" customHeight="1" x14ac:dyDescent="0.3">
      <c r="A74" s="18" t="s">
        <v>143</v>
      </c>
      <c r="B74" s="18" t="s">
        <v>144</v>
      </c>
      <c r="C74" s="18" t="s">
        <v>145</v>
      </c>
      <c r="D74" s="18"/>
      <c r="E74" s="18"/>
      <c r="F74" s="41" t="s">
        <v>135</v>
      </c>
      <c r="G74" s="17" t="s">
        <v>135</v>
      </c>
      <c r="H74" s="45">
        <v>46539</v>
      </c>
      <c r="I74" s="45"/>
      <c r="J74" s="17" t="s">
        <v>135</v>
      </c>
    </row>
    <row r="77" spans="1:10" ht="18" x14ac:dyDescent="0.3">
      <c r="A77" s="114" t="s">
        <v>165</v>
      </c>
      <c r="B77" s="114"/>
      <c r="C77" s="114"/>
      <c r="D77" s="46"/>
      <c r="E77" s="46"/>
    </row>
    <row r="79" spans="1:10" x14ac:dyDescent="0.3">
      <c r="A79" s="47" t="s">
        <v>146</v>
      </c>
      <c r="B79" s="47" t="s">
        <v>147</v>
      </c>
      <c r="C79" s="47" t="s">
        <v>148</v>
      </c>
      <c r="D79" s="47" t="s">
        <v>149</v>
      </c>
      <c r="E79" s="47" t="s">
        <v>150</v>
      </c>
      <c r="F79" s="47" t="s">
        <v>151</v>
      </c>
      <c r="G79" s="47" t="s">
        <v>167</v>
      </c>
      <c r="H79" s="47" t="s">
        <v>168</v>
      </c>
      <c r="I79" s="47" t="s">
        <v>169</v>
      </c>
      <c r="J79" s="47" t="s">
        <v>170</v>
      </c>
    </row>
    <row r="80" spans="1:10" ht="28.8" x14ac:dyDescent="0.3">
      <c r="A80" s="51" t="s">
        <v>152</v>
      </c>
      <c r="B80" s="51" t="s">
        <v>153</v>
      </c>
      <c r="C80" s="52" t="s">
        <v>154</v>
      </c>
      <c r="D80" s="52" t="s">
        <v>161</v>
      </c>
      <c r="E80" s="52" t="s">
        <v>162</v>
      </c>
      <c r="F80" s="51" t="s">
        <v>155</v>
      </c>
      <c r="G80" s="52" t="s">
        <v>156</v>
      </c>
      <c r="H80" s="53" t="s">
        <v>157</v>
      </c>
      <c r="I80" s="54" t="s">
        <v>171</v>
      </c>
      <c r="J80" s="52" t="s">
        <v>158</v>
      </c>
    </row>
    <row r="81" spans="1:10" ht="156" customHeight="1" x14ac:dyDescent="0.3">
      <c r="A81" s="2" t="s">
        <v>159</v>
      </c>
      <c r="B81" s="2" t="s">
        <v>160</v>
      </c>
      <c r="C81" s="48">
        <v>46181</v>
      </c>
      <c r="D81" s="48" t="s">
        <v>163</v>
      </c>
      <c r="E81" s="49" t="s">
        <v>164</v>
      </c>
      <c r="F81" s="50">
        <v>3800</v>
      </c>
      <c r="G81" s="2"/>
      <c r="H81" s="48">
        <v>46184</v>
      </c>
      <c r="I81" s="48"/>
      <c r="J81" s="2" t="s">
        <v>166</v>
      </c>
    </row>
  </sheetData>
  <mergeCells count="7">
    <mergeCell ref="A77:C77"/>
    <mergeCell ref="A66:J66"/>
    <mergeCell ref="A6:R6"/>
    <mergeCell ref="A20:L20"/>
    <mergeCell ref="A33:L33"/>
    <mergeCell ref="A37:L37"/>
    <mergeCell ref="A51:H51"/>
  </mergeCells>
  <phoneticPr fontId="11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0452367-C249-4611-A80E-5246255012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'Personal-Budget_2026'!G:G</xm:f>
              <xm:sqref>G68</xm:sqref>
            </x14:sparkline>
            <x14:sparkline>
              <xm:f>'Personal-Budget_2026'!H:H</xm:f>
              <xm:sqref>H68</xm:sqref>
            </x14:sparkline>
            <x14:sparkline>
              <xm:f>'Personal-Budget_2026'!I:I</xm:f>
              <xm:sqref>I68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DDB5-C914-4D41-B3AC-1DECB4CEAAB9}">
  <sheetPr>
    <tabColor theme="1"/>
  </sheetPr>
  <dimension ref="A1:G96"/>
  <sheetViews>
    <sheetView topLeftCell="A70" zoomScale="82" zoomScaleNormal="82" workbookViewId="0">
      <selection activeCell="G51" sqref="G51"/>
    </sheetView>
  </sheetViews>
  <sheetFormatPr baseColWidth="10" defaultColWidth="8.88671875" defaultRowHeight="14.4" x14ac:dyDescent="0.3"/>
  <cols>
    <col min="1" max="1" width="17.33203125" customWidth="1"/>
    <col min="2" max="2" width="22.6640625" customWidth="1"/>
    <col min="3" max="4" width="17" customWidth="1"/>
    <col min="5" max="5" width="14.88671875" customWidth="1"/>
    <col min="6" max="6" width="12" customWidth="1"/>
    <col min="7" max="7" width="12.5546875" customWidth="1"/>
  </cols>
  <sheetData>
    <row r="1" spans="1:4" ht="18" x14ac:dyDescent="0.3">
      <c r="A1" s="123" t="s">
        <v>4</v>
      </c>
      <c r="B1" s="124"/>
      <c r="C1" s="124"/>
    </row>
    <row r="2" spans="1:4" ht="15" x14ac:dyDescent="0.3">
      <c r="B2" s="1"/>
      <c r="C2" s="3"/>
    </row>
    <row r="4" spans="1:4" ht="14.4" customHeight="1" x14ac:dyDescent="0.3">
      <c r="A4" s="4" t="s">
        <v>0</v>
      </c>
      <c r="B4" s="4" t="s">
        <v>1</v>
      </c>
      <c r="C4" s="4" t="s">
        <v>2</v>
      </c>
      <c r="D4" s="4" t="s">
        <v>3</v>
      </c>
    </row>
    <row r="5" spans="1:4" x14ac:dyDescent="0.3">
      <c r="A5" s="2">
        <v>5</v>
      </c>
      <c r="B5" s="2" t="s">
        <v>6</v>
      </c>
      <c r="C5" s="6">
        <v>9000</v>
      </c>
      <c r="D5" s="7">
        <f t="shared" ref="D5:D11" si="0">A5*C5</f>
        <v>45000</v>
      </c>
    </row>
    <row r="6" spans="1:4" x14ac:dyDescent="0.3">
      <c r="A6" s="2">
        <v>3</v>
      </c>
      <c r="B6" s="2" t="s">
        <v>7</v>
      </c>
      <c r="C6" s="9">
        <v>2000</v>
      </c>
      <c r="D6" s="10">
        <f t="shared" si="0"/>
        <v>6000</v>
      </c>
    </row>
    <row r="7" spans="1:4" x14ac:dyDescent="0.3">
      <c r="A7" s="2">
        <v>4</v>
      </c>
      <c r="B7" s="2" t="s">
        <v>8</v>
      </c>
      <c r="C7" s="10">
        <v>1800</v>
      </c>
      <c r="D7" s="7">
        <f t="shared" si="0"/>
        <v>7200</v>
      </c>
    </row>
    <row r="8" spans="1:4" x14ac:dyDescent="0.3">
      <c r="A8" s="2">
        <v>8</v>
      </c>
      <c r="B8" s="2" t="s">
        <v>9</v>
      </c>
      <c r="C8" s="7">
        <v>1350</v>
      </c>
      <c r="D8" s="7">
        <f t="shared" si="0"/>
        <v>10800</v>
      </c>
    </row>
    <row r="9" spans="1:4" x14ac:dyDescent="0.3">
      <c r="A9" s="2">
        <v>10</v>
      </c>
      <c r="B9" s="2" t="s">
        <v>10</v>
      </c>
      <c r="C9" s="7">
        <v>1000</v>
      </c>
      <c r="D9" s="7">
        <f t="shared" si="0"/>
        <v>10000</v>
      </c>
    </row>
    <row r="10" spans="1:4" x14ac:dyDescent="0.3">
      <c r="A10" s="2">
        <v>15</v>
      </c>
      <c r="B10" s="2" t="s">
        <v>11</v>
      </c>
      <c r="C10" s="7">
        <v>1500</v>
      </c>
      <c r="D10" s="6">
        <f t="shared" si="0"/>
        <v>22500</v>
      </c>
    </row>
    <row r="11" spans="1:4" x14ac:dyDescent="0.3">
      <c r="A11" s="2">
        <v>8</v>
      </c>
      <c r="B11" s="2" t="s">
        <v>12</v>
      </c>
      <c r="C11" s="7">
        <v>4000</v>
      </c>
      <c r="D11" s="6">
        <f t="shared" si="0"/>
        <v>32000</v>
      </c>
    </row>
    <row r="12" spans="1:4" x14ac:dyDescent="0.3">
      <c r="C12" s="5" t="s">
        <v>5</v>
      </c>
      <c r="D12" s="11">
        <f>SUM(D5:D11)</f>
        <v>133500</v>
      </c>
    </row>
    <row r="13" spans="1:4" x14ac:dyDescent="0.3">
      <c r="C13" s="8"/>
    </row>
    <row r="16" spans="1:4" x14ac:dyDescent="0.3">
      <c r="C16" s="8"/>
    </row>
    <row r="17" spans="1:4" ht="21" x14ac:dyDescent="0.3">
      <c r="A17" s="125" t="s">
        <v>13</v>
      </c>
      <c r="B17" s="125"/>
      <c r="C17" s="125"/>
    </row>
    <row r="19" spans="1:4" x14ac:dyDescent="0.3">
      <c r="A19" s="12" t="s">
        <v>14</v>
      </c>
      <c r="B19" s="12" t="s">
        <v>15</v>
      </c>
      <c r="C19" s="12" t="s">
        <v>26</v>
      </c>
      <c r="D19" s="12" t="s">
        <v>16</v>
      </c>
    </row>
    <row r="20" spans="1:4" x14ac:dyDescent="0.3">
      <c r="A20" s="2" t="s">
        <v>17</v>
      </c>
      <c r="B20" s="2">
        <v>30</v>
      </c>
      <c r="C20" s="6">
        <v>2500000</v>
      </c>
      <c r="D20" s="7">
        <f t="shared" ref="D20:D28" si="1">C20/30*B20</f>
        <v>2500000</v>
      </c>
    </row>
    <row r="21" spans="1:4" x14ac:dyDescent="0.3">
      <c r="A21" s="2" t="s">
        <v>18</v>
      </c>
      <c r="B21" s="2">
        <v>30</v>
      </c>
      <c r="C21" s="6">
        <v>3500000</v>
      </c>
      <c r="D21" s="7">
        <f t="shared" si="1"/>
        <v>3500000</v>
      </c>
    </row>
    <row r="22" spans="1:4" x14ac:dyDescent="0.3">
      <c r="A22" s="2" t="s">
        <v>19</v>
      </c>
      <c r="B22" s="2">
        <v>30</v>
      </c>
      <c r="C22" s="6">
        <v>210000</v>
      </c>
      <c r="D22" s="7">
        <f t="shared" si="1"/>
        <v>210000</v>
      </c>
    </row>
    <row r="23" spans="1:4" x14ac:dyDescent="0.3">
      <c r="A23" s="2" t="s">
        <v>20</v>
      </c>
      <c r="B23" s="2">
        <v>30</v>
      </c>
      <c r="C23" s="6">
        <v>250000</v>
      </c>
      <c r="D23" s="7">
        <f t="shared" si="1"/>
        <v>250000.00000000003</v>
      </c>
    </row>
    <row r="24" spans="1:4" x14ac:dyDescent="0.3">
      <c r="A24" s="2" t="s">
        <v>21</v>
      </c>
      <c r="B24" s="2">
        <v>30</v>
      </c>
      <c r="C24" s="6">
        <v>280000</v>
      </c>
      <c r="D24" s="7">
        <f t="shared" si="1"/>
        <v>280000</v>
      </c>
    </row>
    <row r="25" spans="1:4" x14ac:dyDescent="0.3">
      <c r="A25" s="2" t="s">
        <v>22</v>
      </c>
      <c r="B25" s="2">
        <v>30</v>
      </c>
      <c r="C25" s="6">
        <v>350000</v>
      </c>
      <c r="D25" s="7">
        <f t="shared" si="1"/>
        <v>350000</v>
      </c>
    </row>
    <row r="26" spans="1:4" x14ac:dyDescent="0.3">
      <c r="A26" s="2" t="s">
        <v>23</v>
      </c>
      <c r="B26" s="2">
        <v>30</v>
      </c>
      <c r="C26" s="6">
        <v>380000</v>
      </c>
      <c r="D26" s="7">
        <f t="shared" si="1"/>
        <v>380000</v>
      </c>
    </row>
    <row r="27" spans="1:4" x14ac:dyDescent="0.3">
      <c r="A27" s="2" t="s">
        <v>24</v>
      </c>
      <c r="B27" s="2">
        <v>30</v>
      </c>
      <c r="C27" s="6">
        <v>480000</v>
      </c>
      <c r="D27" s="7">
        <f t="shared" si="1"/>
        <v>480000</v>
      </c>
    </row>
    <row r="28" spans="1:4" x14ac:dyDescent="0.3">
      <c r="A28" s="2" t="s">
        <v>25</v>
      </c>
      <c r="B28" s="2">
        <v>30</v>
      </c>
      <c r="C28" s="6">
        <v>540000</v>
      </c>
      <c r="D28" s="7">
        <f t="shared" si="1"/>
        <v>540000</v>
      </c>
    </row>
    <row r="31" spans="1:4" ht="21" x14ac:dyDescent="0.3">
      <c r="A31" s="125" t="s">
        <v>13</v>
      </c>
      <c r="B31" s="125"/>
      <c r="C31" s="125"/>
    </row>
    <row r="33" spans="1:7" x14ac:dyDescent="0.3">
      <c r="A33" s="12" t="s">
        <v>14</v>
      </c>
      <c r="B33" s="12" t="s">
        <v>15</v>
      </c>
      <c r="C33" s="12" t="s">
        <v>26</v>
      </c>
      <c r="D33" s="12" t="s">
        <v>16</v>
      </c>
    </row>
    <row r="34" spans="1:7" x14ac:dyDescent="0.3">
      <c r="A34" s="2" t="s">
        <v>17</v>
      </c>
      <c r="B34" s="2">
        <v>30</v>
      </c>
      <c r="C34" s="7">
        <v>3000000</v>
      </c>
      <c r="D34" s="7">
        <f>C34/30*B34</f>
        <v>3000000</v>
      </c>
    </row>
    <row r="35" spans="1:7" x14ac:dyDescent="0.3">
      <c r="A35" s="2" t="s">
        <v>18</v>
      </c>
      <c r="B35" s="2">
        <v>18</v>
      </c>
      <c r="C35" s="7">
        <v>3500000</v>
      </c>
      <c r="D35" s="7">
        <f>C35/30*B35</f>
        <v>2100000</v>
      </c>
    </row>
    <row r="36" spans="1:7" x14ac:dyDescent="0.3">
      <c r="A36" s="2" t="s">
        <v>19</v>
      </c>
      <c r="B36" s="2">
        <v>15</v>
      </c>
      <c r="C36" s="7">
        <v>4000000</v>
      </c>
      <c r="D36" s="7">
        <f t="shared" ref="D36:D42" si="2">C36/30*B36</f>
        <v>2000000.0000000002</v>
      </c>
    </row>
    <row r="37" spans="1:7" x14ac:dyDescent="0.3">
      <c r="A37" s="2" t="s">
        <v>20</v>
      </c>
      <c r="B37" s="2">
        <v>10</v>
      </c>
      <c r="C37" s="7">
        <v>4500000</v>
      </c>
      <c r="D37" s="7">
        <f>C37/30*B37</f>
        <v>1500000</v>
      </c>
    </row>
    <row r="38" spans="1:7" x14ac:dyDescent="0.3">
      <c r="A38" s="2" t="s">
        <v>21</v>
      </c>
      <c r="B38" s="2">
        <v>25</v>
      </c>
      <c r="C38" s="7">
        <v>5000000</v>
      </c>
      <c r="D38" s="7">
        <f>C38/30*B38</f>
        <v>4166666.6666666665</v>
      </c>
    </row>
    <row r="39" spans="1:7" x14ac:dyDescent="0.3">
      <c r="A39" s="2" t="s">
        <v>22</v>
      </c>
      <c r="B39" s="2">
        <v>30</v>
      </c>
      <c r="C39" s="7">
        <v>5500000</v>
      </c>
      <c r="D39" s="7">
        <f t="shared" ref="D39" si="3">C39/30*B39</f>
        <v>5500000</v>
      </c>
    </row>
    <row r="40" spans="1:7" x14ac:dyDescent="0.3">
      <c r="A40" s="2" t="s">
        <v>23</v>
      </c>
      <c r="B40" s="2">
        <v>30</v>
      </c>
      <c r="C40" s="7">
        <v>6500000</v>
      </c>
      <c r="D40" s="7">
        <f t="shared" si="2"/>
        <v>6500000</v>
      </c>
    </row>
    <row r="41" spans="1:7" x14ac:dyDescent="0.3">
      <c r="A41" s="2" t="s">
        <v>24</v>
      </c>
      <c r="B41" s="2">
        <v>25</v>
      </c>
      <c r="C41" s="7">
        <v>7000000</v>
      </c>
      <c r="D41" s="7">
        <f t="shared" si="2"/>
        <v>5833333.333333334</v>
      </c>
    </row>
    <row r="42" spans="1:7" x14ac:dyDescent="0.3">
      <c r="A42" s="2" t="s">
        <v>25</v>
      </c>
      <c r="B42" s="2">
        <v>25</v>
      </c>
      <c r="C42" s="7">
        <v>7500000</v>
      </c>
      <c r="D42" s="7">
        <f t="shared" si="2"/>
        <v>6250000</v>
      </c>
    </row>
    <row r="46" spans="1:7" ht="25.8" x14ac:dyDescent="0.3">
      <c r="A46" s="126" t="s">
        <v>27</v>
      </c>
      <c r="B46" s="126"/>
      <c r="C46" s="126"/>
      <c r="D46" s="126"/>
      <c r="E46" s="126"/>
      <c r="F46" s="126"/>
      <c r="G46" s="126"/>
    </row>
    <row r="48" spans="1:7" ht="18" x14ac:dyDescent="0.3">
      <c r="A48" s="127" t="s">
        <v>28</v>
      </c>
      <c r="B48" s="127"/>
      <c r="C48" s="127"/>
      <c r="D48" s="127"/>
      <c r="E48" s="127"/>
      <c r="F48" s="127"/>
      <c r="G48" s="127"/>
    </row>
    <row r="50" spans="1:7" x14ac:dyDescent="0.3">
      <c r="A50" s="13" t="s">
        <v>29</v>
      </c>
      <c r="B50" s="13" t="s">
        <v>30</v>
      </c>
      <c r="C50" s="13" t="s">
        <v>31</v>
      </c>
      <c r="D50" s="13" t="s">
        <v>32</v>
      </c>
      <c r="E50" s="13" t="s">
        <v>33</v>
      </c>
      <c r="F50" s="13" t="s">
        <v>34</v>
      </c>
      <c r="G50" s="13" t="s">
        <v>35</v>
      </c>
    </row>
    <row r="51" spans="1:7" x14ac:dyDescent="0.3">
      <c r="A51" s="2" t="s">
        <v>36</v>
      </c>
      <c r="B51" s="2" t="s">
        <v>43</v>
      </c>
      <c r="C51" s="2">
        <v>5</v>
      </c>
      <c r="D51" s="2">
        <v>5</v>
      </c>
      <c r="E51" s="2">
        <v>5</v>
      </c>
      <c r="F51" s="14">
        <f>AVERAGE(C51:D51:E51)</f>
        <v>5</v>
      </c>
      <c r="G51" s="2" t="str">
        <f>IF(C51&gt;3,"APROBADO","REPROBADO")</f>
        <v>APROBADO</v>
      </c>
    </row>
    <row r="52" spans="1:7" x14ac:dyDescent="0.3">
      <c r="A52" s="2" t="s">
        <v>37</v>
      </c>
      <c r="B52" s="2" t="s">
        <v>42</v>
      </c>
      <c r="C52" s="2">
        <v>2</v>
      </c>
      <c r="D52" s="2">
        <v>2</v>
      </c>
      <c r="E52" s="2">
        <v>4</v>
      </c>
      <c r="F52" s="14">
        <f>AVERAGE(C52:D52:E52)</f>
        <v>2.6666666666666665</v>
      </c>
      <c r="G52" s="2" t="str">
        <f t="shared" ref="G52:G54" si="4">IF(C52&gt;3,"APROBADO","REPROBADO")</f>
        <v>REPROBADO</v>
      </c>
    </row>
    <row r="53" spans="1:7" x14ac:dyDescent="0.3">
      <c r="A53" s="2" t="s">
        <v>38</v>
      </c>
      <c r="B53" s="2" t="s">
        <v>41</v>
      </c>
      <c r="C53" s="2">
        <v>1</v>
      </c>
      <c r="D53" s="2">
        <v>5</v>
      </c>
      <c r="E53" s="2">
        <v>4</v>
      </c>
      <c r="F53" s="14">
        <f>AVERAGE(C53:D53:E53)</f>
        <v>3.3333333333333335</v>
      </c>
      <c r="G53" s="2" t="str">
        <f t="shared" si="4"/>
        <v>REPROBADO</v>
      </c>
    </row>
    <row r="54" spans="1:7" x14ac:dyDescent="0.3">
      <c r="A54" s="2" t="s">
        <v>39</v>
      </c>
      <c r="B54" s="2" t="s">
        <v>40</v>
      </c>
      <c r="C54" s="2">
        <v>3</v>
      </c>
      <c r="D54" s="2">
        <v>2</v>
      </c>
      <c r="E54" s="2">
        <v>5</v>
      </c>
      <c r="F54" s="14">
        <f>AVERAGE(C54:D54:E54)</f>
        <v>3.3333333333333335</v>
      </c>
      <c r="G54" s="2" t="str">
        <f t="shared" si="4"/>
        <v>REPROBADO</v>
      </c>
    </row>
    <row r="78" spans="1:5" ht="18" x14ac:dyDescent="0.3">
      <c r="A78" s="57" t="s">
        <v>172</v>
      </c>
      <c r="B78" s="58"/>
      <c r="C78" s="58"/>
      <c r="D78" s="58"/>
    </row>
    <row r="79" spans="1:5" ht="18" x14ac:dyDescent="0.3">
      <c r="A79" s="61" t="s">
        <v>173</v>
      </c>
      <c r="B79" s="61" t="s">
        <v>153</v>
      </c>
      <c r="C79" s="61" t="s">
        <v>174</v>
      </c>
      <c r="D79" s="61" t="s">
        <v>175</v>
      </c>
    </row>
    <row r="80" spans="1:5" ht="18" x14ac:dyDescent="0.3">
      <c r="A80" s="59" t="s">
        <v>176</v>
      </c>
      <c r="B80" s="59" t="s">
        <v>178</v>
      </c>
      <c r="C80" s="59" t="s">
        <v>180</v>
      </c>
      <c r="D80" s="60">
        <v>1000</v>
      </c>
      <c r="E80" s="64" t="s">
        <v>187</v>
      </c>
    </row>
    <row r="81" spans="1:7" ht="18" x14ac:dyDescent="0.3">
      <c r="A81" s="59" t="s">
        <v>177</v>
      </c>
      <c r="B81" s="59" t="s">
        <v>181</v>
      </c>
      <c r="C81" s="59" t="s">
        <v>179</v>
      </c>
      <c r="D81" s="60">
        <v>1083</v>
      </c>
      <c r="E81" s="121" t="s">
        <v>189</v>
      </c>
      <c r="F81" s="122"/>
      <c r="G81" s="122"/>
    </row>
    <row r="82" spans="1:7" ht="18" x14ac:dyDescent="0.3">
      <c r="A82" s="59" t="s">
        <v>184</v>
      </c>
      <c r="B82" s="59" t="s">
        <v>182</v>
      </c>
      <c r="C82" s="59" t="s">
        <v>183</v>
      </c>
      <c r="D82" s="60">
        <v>0</v>
      </c>
      <c r="E82" s="64" t="s">
        <v>188</v>
      </c>
    </row>
    <row r="83" spans="1:7" ht="18" x14ac:dyDescent="0.3">
      <c r="A83" s="59" t="s">
        <v>184</v>
      </c>
      <c r="B83" s="59" t="s">
        <v>195</v>
      </c>
      <c r="C83" s="59" t="s">
        <v>197</v>
      </c>
      <c r="D83" s="60">
        <v>0</v>
      </c>
      <c r="E83" s="58"/>
    </row>
    <row r="84" spans="1:7" ht="18" x14ac:dyDescent="0.3">
      <c r="A84" s="59" t="s">
        <v>198</v>
      </c>
      <c r="B84" s="59" t="s">
        <v>178</v>
      </c>
      <c r="C84" s="59" t="s">
        <v>199</v>
      </c>
      <c r="D84" s="60">
        <v>3800</v>
      </c>
      <c r="E84" s="58"/>
    </row>
    <row r="85" spans="1:7" ht="18" x14ac:dyDescent="0.3">
      <c r="A85" s="59" t="s">
        <v>184</v>
      </c>
      <c r="B85" s="59" t="s">
        <v>185</v>
      </c>
      <c r="C85" s="59" t="s">
        <v>196</v>
      </c>
      <c r="D85" s="60">
        <v>0</v>
      </c>
    </row>
    <row r="88" spans="1:7" ht="18" x14ac:dyDescent="0.3">
      <c r="A88" s="58" t="s">
        <v>200</v>
      </c>
      <c r="C88" s="66"/>
    </row>
    <row r="89" spans="1:7" x14ac:dyDescent="0.3">
      <c r="A89" s="65" t="s">
        <v>153</v>
      </c>
      <c r="B89" s="65" t="s">
        <v>190</v>
      </c>
    </row>
    <row r="90" spans="1:7" x14ac:dyDescent="0.3">
      <c r="A90" s="2" t="s">
        <v>191</v>
      </c>
      <c r="B90" s="2">
        <f>SUMIF('Junio-2026'!C:C,"Comida",'Junio-2026'!D:D)</f>
        <v>0</v>
      </c>
    </row>
    <row r="91" spans="1:7" x14ac:dyDescent="0.3">
      <c r="A91" s="2" t="s">
        <v>192</v>
      </c>
      <c r="B91" s="2">
        <f>SUMIF('Junio-2026'!C:C,"Transporte",'Junio-2026'!D:D)</f>
        <v>0</v>
      </c>
    </row>
    <row r="92" spans="1:7" x14ac:dyDescent="0.3">
      <c r="A92" s="2" t="s">
        <v>178</v>
      </c>
      <c r="B92" s="2"/>
    </row>
    <row r="93" spans="1:7" x14ac:dyDescent="0.3">
      <c r="A93" s="2" t="s">
        <v>194</v>
      </c>
      <c r="B93" s="2">
        <f>SUMIF('Junio-2026'!B167:B172,"Compras online", 'Junio-2026'!D167:D172)</f>
        <v>0</v>
      </c>
    </row>
    <row r="94" spans="1:7" x14ac:dyDescent="0.3">
      <c r="A94" s="2" t="s">
        <v>186</v>
      </c>
      <c r="B94" s="2">
        <f>SUMIF('Junio-2026'!B167:B172,"Compras online", 'Junio-2026'!D167:D172)</f>
        <v>0</v>
      </c>
    </row>
    <row r="95" spans="1:7" x14ac:dyDescent="0.3">
      <c r="A95" s="2" t="s">
        <v>178</v>
      </c>
      <c r="B95" s="2">
        <f>SUMIF('Junio-2026'!B167:B172,"Salud",'Junio-2026'!D167:D172)</f>
        <v>0</v>
      </c>
    </row>
    <row r="96" spans="1:7" x14ac:dyDescent="0.3">
      <c r="A96" s="2" t="s">
        <v>193</v>
      </c>
      <c r="B96" s="2"/>
    </row>
  </sheetData>
  <mergeCells count="6">
    <mergeCell ref="E81:G81"/>
    <mergeCell ref="A1:C1"/>
    <mergeCell ref="A17:C17"/>
    <mergeCell ref="A31:C31"/>
    <mergeCell ref="A46:G46"/>
    <mergeCell ref="A48:G48"/>
  </mergeCells>
  <phoneticPr fontId="11" type="noConversion"/>
  <conditionalFormatting sqref="D80:D85">
    <cfRule type="cellIs" dxfId="13" priority="11" operator="greaterThan">
      <formula>1050</formula>
    </cfRule>
    <cfRule type="cellIs" dxfId="12" priority="12" operator="greaterThan">
      <formula>500</formula>
    </cfRule>
    <cfRule type="cellIs" dxfId="11" priority="13" operator="lessThan">
      <formula>500</formula>
    </cfRule>
    <cfRule type="cellIs" dxfId="10" priority="14" operator="lessThan">
      <formula>500</formula>
    </cfRule>
    <cfRule type="cellIs" dxfId="9" priority="15" operator="greaterThan">
      <formula>1050</formula>
    </cfRule>
    <cfRule type="cellIs" dxfId="8" priority="16" operator="greaterThan">
      <formula>500</formula>
    </cfRule>
    <cfRule type="cellIs" dxfId="7" priority="17" operator="greaterThan">
      <formula>1000</formula>
    </cfRule>
    <cfRule type="cellIs" dxfId="6" priority="18" operator="greaterThan">
      <formula>" $ 1,100.00"</formula>
    </cfRule>
    <cfRule type="colorScale" priority="19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EFF3-7E62-4F9E-9708-A59A85B67BFA}">
  <sheetPr>
    <tabColor rgb="FFFF0000"/>
  </sheetPr>
  <dimension ref="A2:G30"/>
  <sheetViews>
    <sheetView tabSelected="1" topLeftCell="A13" workbookViewId="0">
      <selection activeCell="D29" sqref="D29"/>
    </sheetView>
  </sheetViews>
  <sheetFormatPr baseColWidth="10" defaultColWidth="8.88671875" defaultRowHeight="14.4" x14ac:dyDescent="0.3"/>
  <cols>
    <col min="1" max="1" width="17.77734375" bestFit="1" customWidth="1"/>
    <col min="2" max="2" width="17.88671875" bestFit="1" customWidth="1"/>
    <col min="3" max="3" width="14.109375" bestFit="1" customWidth="1"/>
    <col min="4" max="4" width="16.21875" bestFit="1" customWidth="1"/>
    <col min="5" max="5" width="28.44140625" bestFit="1" customWidth="1"/>
  </cols>
  <sheetData>
    <row r="2" spans="1:7" ht="15.6" x14ac:dyDescent="0.3">
      <c r="A2" s="56" t="s">
        <v>172</v>
      </c>
      <c r="B2" s="55"/>
      <c r="C2" s="55"/>
      <c r="D2" s="55"/>
      <c r="E2" s="55"/>
      <c r="F2" s="55"/>
      <c r="G2" s="55"/>
    </row>
    <row r="3" spans="1:7" ht="15.6" x14ac:dyDescent="0.3">
      <c r="A3" s="67" t="s">
        <v>173</v>
      </c>
      <c r="B3" s="67" t="s">
        <v>153</v>
      </c>
      <c r="C3" s="67" t="s">
        <v>174</v>
      </c>
      <c r="D3" s="67" t="s">
        <v>175</v>
      </c>
      <c r="E3" s="55"/>
      <c r="F3" s="55"/>
      <c r="G3" s="55"/>
    </row>
    <row r="4" spans="1:7" ht="15.6" x14ac:dyDescent="0.3">
      <c r="A4" s="63" t="s">
        <v>176</v>
      </c>
      <c r="B4" s="63" t="s">
        <v>178</v>
      </c>
      <c r="C4" s="63" t="s">
        <v>180</v>
      </c>
      <c r="D4" s="62">
        <v>1000</v>
      </c>
      <c r="E4" s="77" t="s">
        <v>187</v>
      </c>
      <c r="F4" s="55"/>
      <c r="G4" s="55"/>
    </row>
    <row r="5" spans="1:7" ht="15.6" x14ac:dyDescent="0.3">
      <c r="A5" s="63" t="s">
        <v>177</v>
      </c>
      <c r="B5" s="63" t="s">
        <v>181</v>
      </c>
      <c r="C5" s="63" t="s">
        <v>179</v>
      </c>
      <c r="D5" s="62">
        <v>1083</v>
      </c>
      <c r="E5" s="128" t="s">
        <v>189</v>
      </c>
      <c r="F5" s="128"/>
      <c r="G5" s="128"/>
    </row>
    <row r="6" spans="1:7" ht="15.6" x14ac:dyDescent="0.3">
      <c r="A6" s="63" t="s">
        <v>234</v>
      </c>
      <c r="B6" s="63" t="s">
        <v>195</v>
      </c>
      <c r="C6" s="63" t="s">
        <v>197</v>
      </c>
      <c r="D6" s="62">
        <v>1641.33</v>
      </c>
      <c r="E6" s="55"/>
      <c r="F6" s="55"/>
      <c r="G6" s="55"/>
    </row>
    <row r="7" spans="1:7" ht="15.6" x14ac:dyDescent="0.3">
      <c r="A7" s="63" t="s">
        <v>198</v>
      </c>
      <c r="B7" s="63" t="s">
        <v>178</v>
      </c>
      <c r="C7" s="63" t="s">
        <v>199</v>
      </c>
      <c r="D7" s="62">
        <v>3800</v>
      </c>
      <c r="E7" s="77" t="s">
        <v>188</v>
      </c>
      <c r="F7" s="55"/>
      <c r="G7" s="55"/>
    </row>
    <row r="8" spans="1:7" ht="15.6" x14ac:dyDescent="0.3">
      <c r="A8" s="63" t="s">
        <v>184</v>
      </c>
      <c r="B8" s="63" t="s">
        <v>185</v>
      </c>
      <c r="C8" s="63" t="s">
        <v>196</v>
      </c>
      <c r="D8" s="62">
        <v>0</v>
      </c>
      <c r="E8" s="55"/>
      <c r="F8" s="55"/>
      <c r="G8" s="55"/>
    </row>
    <row r="9" spans="1:7" ht="15.6" x14ac:dyDescent="0.3">
      <c r="A9" s="63" t="s">
        <v>221</v>
      </c>
      <c r="B9" s="63" t="s">
        <v>220</v>
      </c>
      <c r="C9" s="63" t="s">
        <v>222</v>
      </c>
      <c r="D9" s="75">
        <v>510</v>
      </c>
      <c r="E9" s="55"/>
      <c r="F9" s="55"/>
      <c r="G9" s="55"/>
    </row>
    <row r="10" spans="1:7" ht="15.6" x14ac:dyDescent="0.3">
      <c r="A10" s="63" t="s">
        <v>228</v>
      </c>
      <c r="B10" s="63" t="s">
        <v>229</v>
      </c>
      <c r="C10" s="63" t="s">
        <v>183</v>
      </c>
      <c r="D10" s="75">
        <v>15</v>
      </c>
      <c r="E10" s="55"/>
      <c r="F10" s="55"/>
      <c r="G10" s="55"/>
    </row>
    <row r="11" spans="1:7" ht="15.6" x14ac:dyDescent="0.3">
      <c r="A11" s="63" t="s">
        <v>223</v>
      </c>
      <c r="B11" s="63" t="s">
        <v>224</v>
      </c>
      <c r="C11" s="63" t="s">
        <v>225</v>
      </c>
      <c r="D11" s="75">
        <v>1400</v>
      </c>
      <c r="E11" s="55"/>
      <c r="F11" s="55"/>
      <c r="G11" s="55"/>
    </row>
    <row r="12" spans="1:7" ht="15.6" x14ac:dyDescent="0.3">
      <c r="A12" s="63" t="s">
        <v>230</v>
      </c>
      <c r="B12" s="63" t="s">
        <v>231</v>
      </c>
      <c r="C12" s="63" t="s">
        <v>232</v>
      </c>
      <c r="D12" s="75">
        <v>230</v>
      </c>
      <c r="E12" s="55"/>
      <c r="F12" s="55"/>
      <c r="G12" s="55"/>
    </row>
    <row r="13" spans="1:7" ht="15.6" x14ac:dyDescent="0.3">
      <c r="A13" s="63" t="s">
        <v>233</v>
      </c>
      <c r="B13" s="63" t="s">
        <v>235</v>
      </c>
      <c r="C13" s="63" t="s">
        <v>236</v>
      </c>
      <c r="D13" s="75">
        <v>1000</v>
      </c>
      <c r="E13" s="55"/>
      <c r="F13" s="55"/>
      <c r="G13" s="55"/>
    </row>
    <row r="14" spans="1:7" ht="15.6" x14ac:dyDescent="0.3">
      <c r="A14" s="55"/>
      <c r="B14" s="55"/>
      <c r="C14" s="55"/>
      <c r="D14" s="55"/>
      <c r="E14" s="55"/>
      <c r="F14" s="55"/>
      <c r="G14" s="55"/>
    </row>
    <row r="15" spans="1:7" ht="15.6" x14ac:dyDescent="0.3">
      <c r="A15" s="55"/>
      <c r="B15" s="55"/>
      <c r="C15" s="55"/>
      <c r="D15" s="55"/>
      <c r="E15" s="55"/>
      <c r="F15" s="55"/>
      <c r="G15" s="55"/>
    </row>
    <row r="16" spans="1:7" ht="15.6" x14ac:dyDescent="0.3">
      <c r="A16" s="56" t="s">
        <v>200</v>
      </c>
      <c r="B16" s="55"/>
      <c r="C16" s="68"/>
      <c r="D16" s="55"/>
      <c r="E16" s="55"/>
      <c r="F16" s="55"/>
      <c r="G16" s="55"/>
    </row>
    <row r="17" spans="1:7" ht="15.6" x14ac:dyDescent="0.3">
      <c r="A17" s="67" t="s">
        <v>153</v>
      </c>
      <c r="B17" s="67" t="s">
        <v>190</v>
      </c>
      <c r="C17" s="55"/>
      <c r="D17" s="55"/>
      <c r="F17" s="55"/>
      <c r="G17" s="55"/>
    </row>
    <row r="18" spans="1:7" ht="15.6" x14ac:dyDescent="0.3">
      <c r="A18" s="69" t="s">
        <v>181</v>
      </c>
      <c r="B18" s="70">
        <f>SUMIF($B$4:$B$11,A18,$D$4:$D$11)</f>
        <v>1083</v>
      </c>
      <c r="C18" s="55"/>
      <c r="D18" s="55"/>
      <c r="E18" s="55"/>
      <c r="F18" s="55"/>
      <c r="G18" s="55"/>
    </row>
    <row r="19" spans="1:7" ht="15.6" x14ac:dyDescent="0.3">
      <c r="A19" s="69" t="s">
        <v>192</v>
      </c>
      <c r="B19" s="70">
        <f t="shared" ref="B19:B25" si="0">SUMIF($B$4:$B$11,A19,$D$4:$D$11)</f>
        <v>0</v>
      </c>
      <c r="C19" s="55"/>
      <c r="D19" s="55"/>
      <c r="E19" s="55"/>
      <c r="F19" s="55"/>
      <c r="G19" s="55"/>
    </row>
    <row r="20" spans="1:7" ht="15.6" x14ac:dyDescent="0.3">
      <c r="A20" s="69" t="s">
        <v>178</v>
      </c>
      <c r="B20" s="70">
        <f t="shared" si="0"/>
        <v>4800</v>
      </c>
      <c r="C20" s="55"/>
      <c r="D20" s="55"/>
      <c r="E20" s="55"/>
      <c r="F20" s="55"/>
      <c r="G20" s="55"/>
    </row>
    <row r="21" spans="1:7" ht="15.6" x14ac:dyDescent="0.3">
      <c r="A21" s="69" t="s">
        <v>195</v>
      </c>
      <c r="B21" s="70">
        <f>SUMIF($B$4:$B$13,A21,$D$4:$D$13)</f>
        <v>1641.33</v>
      </c>
      <c r="C21" s="55"/>
      <c r="D21" s="55"/>
      <c r="E21" s="55"/>
      <c r="F21" s="55"/>
      <c r="G21" s="55"/>
    </row>
    <row r="22" spans="1:7" ht="15.6" x14ac:dyDescent="0.3">
      <c r="A22" s="69" t="s">
        <v>226</v>
      </c>
      <c r="B22" s="70">
        <f t="shared" si="0"/>
        <v>0</v>
      </c>
      <c r="C22" s="55"/>
      <c r="D22" s="55"/>
      <c r="E22" s="55"/>
      <c r="F22" s="55"/>
      <c r="G22" s="55"/>
    </row>
    <row r="23" spans="1:7" ht="15.6" x14ac:dyDescent="0.3">
      <c r="A23" s="69" t="s">
        <v>191</v>
      </c>
      <c r="B23" s="70">
        <f t="shared" si="0"/>
        <v>0</v>
      </c>
      <c r="C23" s="55"/>
      <c r="D23" s="55"/>
      <c r="E23" s="55"/>
      <c r="F23" s="55"/>
      <c r="G23" s="55"/>
    </row>
    <row r="24" spans="1:7" ht="15.6" x14ac:dyDescent="0.3">
      <c r="A24" s="69" t="s">
        <v>229</v>
      </c>
      <c r="B24" s="70">
        <f t="shared" si="0"/>
        <v>15</v>
      </c>
      <c r="C24" s="55"/>
      <c r="D24" s="55"/>
      <c r="E24" s="55"/>
      <c r="F24" s="55"/>
      <c r="G24" s="55"/>
    </row>
    <row r="25" spans="1:7" ht="15.6" x14ac:dyDescent="0.3">
      <c r="A25" s="69" t="s">
        <v>224</v>
      </c>
      <c r="B25" s="70">
        <f t="shared" si="0"/>
        <v>1400</v>
      </c>
      <c r="C25" s="55"/>
      <c r="D25" s="55"/>
      <c r="E25" s="55"/>
      <c r="F25" s="55"/>
      <c r="G25" s="55"/>
    </row>
    <row r="26" spans="1:7" ht="15.6" x14ac:dyDescent="0.3">
      <c r="A26" s="69" t="s">
        <v>235</v>
      </c>
      <c r="B26" s="70">
        <f>SUMIF($B$4:$B$13,A26,$D$4:$D$13)</f>
        <v>1000</v>
      </c>
      <c r="C26" s="55"/>
      <c r="D26" s="55"/>
      <c r="E26" s="55"/>
      <c r="F26" s="55"/>
      <c r="G26" s="55"/>
    </row>
    <row r="27" spans="1:7" ht="15.6" x14ac:dyDescent="0.3">
      <c r="A27" s="69" t="s">
        <v>231</v>
      </c>
      <c r="B27" s="70">
        <f>SUMIF($B$4:$B$12,A27,$D$4:$D$12)</f>
        <v>230</v>
      </c>
      <c r="C27" s="55"/>
      <c r="D27" s="55"/>
      <c r="E27" s="55"/>
      <c r="F27" s="55"/>
      <c r="G27" s="55"/>
    </row>
    <row r="28" spans="1:7" ht="15.6" x14ac:dyDescent="0.3">
      <c r="A28" s="76" t="s">
        <v>193</v>
      </c>
      <c r="B28" s="70">
        <f>SUM(B18:B27)</f>
        <v>10169.33</v>
      </c>
      <c r="C28" s="55"/>
      <c r="D28" s="55"/>
      <c r="E28" s="55"/>
      <c r="F28" s="55"/>
      <c r="G28" s="55"/>
    </row>
    <row r="29" spans="1:7" ht="15.6" x14ac:dyDescent="0.3">
      <c r="A29" s="55" t="s">
        <v>243</v>
      </c>
      <c r="B29" s="55"/>
      <c r="C29" s="55"/>
      <c r="D29" s="55"/>
      <c r="E29" s="55"/>
      <c r="F29" s="55"/>
      <c r="G29" s="55"/>
    </row>
    <row r="30" spans="1:7" ht="15.6" x14ac:dyDescent="0.3">
      <c r="A30" s="113" t="s">
        <v>244</v>
      </c>
    </row>
  </sheetData>
  <mergeCells count="1">
    <mergeCell ref="E5:G5"/>
  </mergeCells>
  <phoneticPr fontId="11" type="noConversion"/>
  <conditionalFormatting sqref="B18:B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13">
    <cfRule type="cellIs" dxfId="5" priority="2" operator="lessThan">
      <formula>500</formula>
    </cfRule>
    <cfRule type="cellIs" dxfId="4" priority="3" operator="between">
      <formula>1000</formula>
      <formula>501</formula>
    </cfRule>
    <cfRule type="cellIs" dxfId="3" priority="5" operator="greaterThan">
      <formula>1000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5C9F-0186-4EF2-A8A9-8EDEC3DDF483}">
  <dimension ref="A1:I29"/>
  <sheetViews>
    <sheetView workbookViewId="0">
      <selection activeCell="K9" sqref="K9"/>
    </sheetView>
  </sheetViews>
  <sheetFormatPr baseColWidth="10" defaultColWidth="8.88671875" defaultRowHeight="14.4" x14ac:dyDescent="0.3"/>
  <cols>
    <col min="1" max="2" width="14.33203125" customWidth="1"/>
    <col min="3" max="3" width="16.33203125" bestFit="1" customWidth="1"/>
    <col min="4" max="4" width="12.33203125" bestFit="1" customWidth="1"/>
    <col min="5" max="5" width="11.77734375" bestFit="1" customWidth="1"/>
  </cols>
  <sheetData>
    <row r="1" spans="1:9" ht="15.6" x14ac:dyDescent="0.3">
      <c r="A1" s="104"/>
      <c r="B1" s="104"/>
      <c r="C1" s="104"/>
      <c r="D1" s="104"/>
      <c r="E1" s="104"/>
      <c r="F1" s="104"/>
      <c r="G1" s="104"/>
      <c r="H1" s="104"/>
      <c r="I1" s="55"/>
    </row>
    <row r="2" spans="1:9" ht="15.6" x14ac:dyDescent="0.3">
      <c r="A2" s="109" t="s">
        <v>172</v>
      </c>
      <c r="B2" s="109"/>
      <c r="C2" s="110">
        <v>46204</v>
      </c>
      <c r="D2" s="104"/>
      <c r="E2" s="104"/>
      <c r="F2" s="104"/>
      <c r="G2" s="104"/>
      <c r="H2" s="104"/>
      <c r="I2" s="55"/>
    </row>
    <row r="3" spans="1:9" ht="15.6" x14ac:dyDescent="0.3">
      <c r="A3" s="104"/>
      <c r="B3" s="104"/>
      <c r="C3" s="104"/>
      <c r="D3" s="104"/>
      <c r="E3" s="104"/>
      <c r="F3" s="104"/>
      <c r="G3" s="104"/>
      <c r="H3" s="104"/>
      <c r="I3" s="55"/>
    </row>
    <row r="4" spans="1:9" ht="15.6" x14ac:dyDescent="0.3">
      <c r="A4" s="111" t="s">
        <v>173</v>
      </c>
      <c r="B4" s="111" t="s">
        <v>47</v>
      </c>
      <c r="C4" s="111" t="s">
        <v>153</v>
      </c>
      <c r="D4" s="111" t="s">
        <v>174</v>
      </c>
      <c r="E4" s="111" t="s">
        <v>175</v>
      </c>
      <c r="F4" s="104"/>
      <c r="G4" s="104"/>
      <c r="H4" s="104"/>
      <c r="I4" s="55"/>
    </row>
    <row r="5" spans="1:9" ht="15.6" x14ac:dyDescent="0.3">
      <c r="A5" s="105"/>
      <c r="B5" s="105"/>
      <c r="C5" s="106" t="s">
        <v>178</v>
      </c>
      <c r="D5" s="106" t="s">
        <v>180</v>
      </c>
      <c r="E5" s="107"/>
      <c r="F5" s="104"/>
      <c r="G5" s="104"/>
      <c r="H5" s="104"/>
      <c r="I5" s="55"/>
    </row>
    <row r="6" spans="1:9" ht="15.6" x14ac:dyDescent="0.3">
      <c r="A6" s="105"/>
      <c r="B6" s="105"/>
      <c r="C6" s="106" t="s">
        <v>181</v>
      </c>
      <c r="D6" s="106" t="s">
        <v>179</v>
      </c>
      <c r="E6" s="107"/>
      <c r="F6" s="104"/>
      <c r="G6" s="104"/>
      <c r="H6" s="104"/>
      <c r="I6" s="55"/>
    </row>
    <row r="7" spans="1:9" ht="15.6" x14ac:dyDescent="0.3">
      <c r="A7" s="105"/>
      <c r="B7" s="105"/>
      <c r="C7" s="106" t="s">
        <v>195</v>
      </c>
      <c r="D7" s="106" t="s">
        <v>197</v>
      </c>
      <c r="E7" s="107"/>
      <c r="F7" s="104"/>
      <c r="G7" s="104"/>
      <c r="H7" s="104"/>
      <c r="I7" s="55"/>
    </row>
    <row r="8" spans="1:9" ht="15.6" x14ac:dyDescent="0.3">
      <c r="A8" s="105"/>
      <c r="B8" s="105"/>
      <c r="C8" s="106" t="s">
        <v>178</v>
      </c>
      <c r="D8" s="106" t="s">
        <v>199</v>
      </c>
      <c r="E8" s="107"/>
      <c r="F8" s="104"/>
      <c r="G8" s="104"/>
      <c r="H8" s="104"/>
      <c r="I8" s="55"/>
    </row>
    <row r="9" spans="1:9" ht="15.6" x14ac:dyDescent="0.3">
      <c r="A9" s="105"/>
      <c r="B9" s="105"/>
      <c r="C9" s="106" t="s">
        <v>185</v>
      </c>
      <c r="D9" s="106" t="s">
        <v>196</v>
      </c>
      <c r="E9" s="107"/>
      <c r="F9" s="104"/>
      <c r="G9" s="104"/>
      <c r="H9" s="104"/>
      <c r="I9" s="55"/>
    </row>
    <row r="10" spans="1:9" ht="15.6" x14ac:dyDescent="0.3">
      <c r="A10" s="105"/>
      <c r="B10" s="105"/>
      <c r="C10" s="106" t="s">
        <v>220</v>
      </c>
      <c r="D10" s="106" t="s">
        <v>222</v>
      </c>
      <c r="E10" s="108"/>
      <c r="F10" s="104"/>
      <c r="G10" s="104"/>
      <c r="H10" s="104"/>
      <c r="I10" s="55"/>
    </row>
    <row r="11" spans="1:9" ht="15.6" x14ac:dyDescent="0.3">
      <c r="A11" s="105">
        <v>46204</v>
      </c>
      <c r="B11" s="105"/>
      <c r="C11" s="106" t="s">
        <v>229</v>
      </c>
      <c r="D11" s="106" t="s">
        <v>239</v>
      </c>
      <c r="E11" s="108">
        <v>220</v>
      </c>
      <c r="F11" s="104"/>
      <c r="G11" s="104"/>
      <c r="H11" s="104"/>
      <c r="I11" s="55"/>
    </row>
    <row r="12" spans="1:9" ht="15.6" x14ac:dyDescent="0.3">
      <c r="A12" s="105"/>
      <c r="B12" s="105"/>
      <c r="C12" s="106" t="s">
        <v>224</v>
      </c>
      <c r="D12" s="106" t="s">
        <v>225</v>
      </c>
      <c r="E12" s="108"/>
      <c r="F12" s="104"/>
      <c r="G12" s="104"/>
      <c r="H12" s="104"/>
      <c r="I12" s="55"/>
    </row>
    <row r="13" spans="1:9" ht="15.6" x14ac:dyDescent="0.3">
      <c r="A13" s="105"/>
      <c r="B13" s="105"/>
      <c r="C13" s="106" t="s">
        <v>231</v>
      </c>
      <c r="D13" s="106" t="s">
        <v>232</v>
      </c>
      <c r="E13" s="108"/>
      <c r="F13" s="104"/>
      <c r="G13" s="104"/>
      <c r="H13" s="104"/>
      <c r="I13" s="55"/>
    </row>
    <row r="14" spans="1:9" ht="15.6" x14ac:dyDescent="0.3">
      <c r="A14" s="105"/>
      <c r="B14" s="105"/>
      <c r="C14" s="106" t="s">
        <v>235</v>
      </c>
      <c r="D14" s="106" t="s">
        <v>236</v>
      </c>
      <c r="E14" s="108"/>
      <c r="F14" s="104"/>
      <c r="G14" s="104"/>
      <c r="H14" s="104"/>
      <c r="I14" s="55">
        <v>15</v>
      </c>
    </row>
    <row r="15" spans="1:9" ht="15.6" x14ac:dyDescent="0.3">
      <c r="A15" s="104"/>
      <c r="B15" s="104"/>
      <c r="C15" s="104"/>
      <c r="D15" s="104"/>
      <c r="E15" s="104"/>
      <c r="F15" s="104"/>
      <c r="G15" s="104"/>
      <c r="H15" s="104"/>
      <c r="I15" s="55">
        <v>15</v>
      </c>
    </row>
    <row r="16" spans="1:9" ht="15.6" x14ac:dyDescent="0.3">
      <c r="A16" s="112" t="s">
        <v>240</v>
      </c>
      <c r="B16" s="112"/>
      <c r="C16" s="112" t="s">
        <v>241</v>
      </c>
      <c r="D16" s="104"/>
      <c r="E16" s="104"/>
      <c r="F16" s="104"/>
      <c r="G16" s="104"/>
      <c r="H16" s="104"/>
      <c r="I16" s="55">
        <v>55</v>
      </c>
    </row>
    <row r="17" spans="1:9" ht="15.6" x14ac:dyDescent="0.3">
      <c r="A17" s="109" t="s">
        <v>229</v>
      </c>
      <c r="B17" s="109"/>
      <c r="C17" s="104">
        <f>SUMIF($C$5:$C$14,$A$17,$E$5:$E$14)</f>
        <v>220</v>
      </c>
      <c r="D17" s="104"/>
      <c r="E17" s="104"/>
      <c r="F17" s="104"/>
      <c r="G17" s="104"/>
      <c r="H17" s="104"/>
      <c r="I17" s="55">
        <f>SUM(I14:I16)</f>
        <v>85</v>
      </c>
    </row>
    <row r="18" spans="1:9" ht="15.6" x14ac:dyDescent="0.3">
      <c r="A18" s="109" t="s">
        <v>193</v>
      </c>
      <c r="B18" s="109"/>
      <c r="C18" s="104"/>
      <c r="D18" s="104"/>
      <c r="E18" s="104"/>
      <c r="F18" s="104"/>
      <c r="G18" s="104"/>
      <c r="H18" s="104"/>
      <c r="I18" s="55">
        <f>+SUM(I14:I17)</f>
        <v>170</v>
      </c>
    </row>
    <row r="19" spans="1:9" ht="15.6" x14ac:dyDescent="0.3">
      <c r="A19" s="109" t="s">
        <v>242</v>
      </c>
      <c r="B19" s="109"/>
      <c r="C19" s="104">
        <f>SUM(C17:C18)</f>
        <v>220</v>
      </c>
      <c r="D19" s="104"/>
      <c r="E19" s="104"/>
      <c r="F19" s="104"/>
      <c r="G19" s="104"/>
      <c r="H19" s="104"/>
      <c r="I19" s="55"/>
    </row>
    <row r="20" spans="1:9" ht="15.6" x14ac:dyDescent="0.3">
      <c r="A20" s="104"/>
      <c r="B20" s="104"/>
      <c r="C20" s="104"/>
      <c r="D20" s="104"/>
      <c r="E20" s="104"/>
      <c r="F20" s="104"/>
      <c r="G20" s="104"/>
      <c r="H20" s="104"/>
      <c r="I20" s="55"/>
    </row>
    <row r="21" spans="1:9" ht="15.6" x14ac:dyDescent="0.3">
      <c r="A21" s="104"/>
      <c r="B21" s="104"/>
      <c r="C21" s="104"/>
      <c r="D21" s="104"/>
      <c r="E21" s="104"/>
      <c r="F21" s="104"/>
      <c r="G21" s="104"/>
      <c r="H21" s="104"/>
      <c r="I21" s="55"/>
    </row>
    <row r="22" spans="1:9" x14ac:dyDescent="0.3">
      <c r="A22" s="78"/>
      <c r="B22" s="78"/>
      <c r="C22" s="78"/>
      <c r="D22" s="78"/>
      <c r="E22" s="78"/>
      <c r="F22" s="78"/>
      <c r="G22" s="78"/>
      <c r="H22" s="78"/>
    </row>
    <row r="23" spans="1:9" x14ac:dyDescent="0.3">
      <c r="A23" s="78"/>
      <c r="B23" s="78"/>
      <c r="C23" s="78"/>
      <c r="D23" s="78"/>
      <c r="E23" s="78"/>
      <c r="F23" s="78"/>
      <c r="G23" s="78"/>
      <c r="H23" s="78"/>
    </row>
    <row r="24" spans="1:9" x14ac:dyDescent="0.3">
      <c r="A24" s="78"/>
      <c r="B24" s="78"/>
      <c r="C24" s="78"/>
      <c r="D24" s="78"/>
      <c r="E24" s="78"/>
      <c r="F24" s="78"/>
      <c r="G24" s="78"/>
      <c r="H24" s="78"/>
    </row>
    <row r="25" spans="1:9" x14ac:dyDescent="0.3">
      <c r="A25" s="78"/>
      <c r="B25" s="78"/>
      <c r="C25" s="78"/>
      <c r="D25" s="78"/>
      <c r="E25" s="78"/>
      <c r="F25" s="78"/>
      <c r="G25" s="78"/>
      <c r="H25" s="78"/>
    </row>
    <row r="26" spans="1:9" x14ac:dyDescent="0.3">
      <c r="A26" s="78"/>
      <c r="B26" s="78"/>
      <c r="C26" s="78"/>
      <c r="D26" s="78"/>
      <c r="E26" s="78"/>
      <c r="F26" s="78"/>
      <c r="G26" s="78"/>
      <c r="H26" s="78"/>
    </row>
    <row r="27" spans="1:9" x14ac:dyDescent="0.3">
      <c r="A27" s="78"/>
      <c r="B27" s="78"/>
      <c r="C27" s="78"/>
      <c r="D27" s="78"/>
      <c r="E27" s="78"/>
      <c r="F27" s="78"/>
      <c r="G27" s="78"/>
      <c r="H27" s="78"/>
    </row>
    <row r="28" spans="1:9" x14ac:dyDescent="0.3">
      <c r="A28" s="78"/>
      <c r="B28" s="78"/>
      <c r="C28" s="78"/>
      <c r="D28" s="78"/>
      <c r="E28" s="78"/>
      <c r="F28" s="78"/>
      <c r="G28" s="78"/>
      <c r="H28" s="78"/>
    </row>
    <row r="29" spans="1:9" x14ac:dyDescent="0.3">
      <c r="A29" s="78"/>
      <c r="B29" s="78"/>
      <c r="C29" s="78"/>
      <c r="D29" s="78"/>
      <c r="E29" s="78"/>
      <c r="F29" s="78"/>
      <c r="G29" s="78"/>
      <c r="H29" s="78"/>
    </row>
  </sheetData>
  <conditionalFormatting sqref="E5:E14">
    <cfRule type="cellIs" dxfId="2" priority="1" operator="lessThan">
      <formula>500</formula>
    </cfRule>
    <cfRule type="cellIs" dxfId="1" priority="2" operator="between">
      <formula>1000</formula>
      <formula>501</formula>
    </cfRule>
    <cfRule type="cellIs" dxfId="0" priority="3" operator="greaterThan">
      <formula>1000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D5F3-00B0-4AD2-8853-B354DEE4CC20}">
  <sheetPr>
    <tabColor rgb="FF002060"/>
  </sheetPr>
  <dimension ref="A1:K20"/>
  <sheetViews>
    <sheetView zoomScale="90" zoomScaleNormal="90" workbookViewId="0">
      <selection activeCell="J12" sqref="J12"/>
    </sheetView>
  </sheetViews>
  <sheetFormatPr baseColWidth="10" defaultColWidth="8.88671875" defaultRowHeight="14.4" x14ac:dyDescent="0.3"/>
  <cols>
    <col min="1" max="1" width="2.21875" bestFit="1" customWidth="1"/>
    <col min="2" max="2" width="29.77734375" bestFit="1" customWidth="1"/>
    <col min="3" max="3" width="15" bestFit="1" customWidth="1"/>
    <col min="4" max="4" width="12.44140625" bestFit="1" customWidth="1"/>
    <col min="5" max="5" width="11.21875" style="73" bestFit="1" customWidth="1"/>
    <col min="6" max="6" width="15.21875" bestFit="1" customWidth="1"/>
    <col min="7" max="7" width="9.44140625" bestFit="1" customWidth="1"/>
    <col min="8" max="8" width="15.88671875" bestFit="1" customWidth="1"/>
    <col min="9" max="9" width="18.77734375" bestFit="1" customWidth="1"/>
    <col min="10" max="10" width="17.77734375" bestFit="1" customWidth="1"/>
  </cols>
  <sheetData>
    <row r="1" spans="1:11" ht="17.399999999999999" x14ac:dyDescent="0.3">
      <c r="A1" s="78"/>
      <c r="B1" s="79" t="s">
        <v>201</v>
      </c>
      <c r="C1" s="78"/>
      <c r="D1" s="80"/>
      <c r="E1" s="81"/>
      <c r="F1" s="78"/>
      <c r="G1" s="78"/>
      <c r="H1" s="78"/>
      <c r="I1" s="78"/>
      <c r="J1" s="78"/>
      <c r="K1" s="78"/>
    </row>
    <row r="2" spans="1:11" x14ac:dyDescent="0.3">
      <c r="A2" s="82"/>
      <c r="B2" s="82"/>
      <c r="C2" s="82"/>
      <c r="D2" s="83"/>
      <c r="E2" s="84"/>
      <c r="F2" s="82"/>
      <c r="G2" s="82"/>
      <c r="H2" s="82"/>
      <c r="I2" s="82"/>
      <c r="J2" s="82"/>
      <c r="K2" s="78"/>
    </row>
    <row r="3" spans="1:11" s="71" customFormat="1" x14ac:dyDescent="0.3">
      <c r="A3" s="85" t="s">
        <v>209</v>
      </c>
      <c r="B3" s="86" t="s">
        <v>202</v>
      </c>
      <c r="C3" s="87" t="s">
        <v>203</v>
      </c>
      <c r="D3" s="88" t="s">
        <v>204</v>
      </c>
      <c r="E3" s="89" t="s">
        <v>205</v>
      </c>
      <c r="F3" s="86" t="s">
        <v>206</v>
      </c>
      <c r="G3" s="86" t="s">
        <v>56</v>
      </c>
      <c r="H3" s="86" t="s">
        <v>208</v>
      </c>
      <c r="I3" s="86" t="s">
        <v>227</v>
      </c>
      <c r="J3" s="86" t="s">
        <v>207</v>
      </c>
      <c r="K3" s="90"/>
    </row>
    <row r="4" spans="1:11" x14ac:dyDescent="0.3">
      <c r="A4" s="91">
        <v>1</v>
      </c>
      <c r="B4" s="92" t="s">
        <v>210</v>
      </c>
      <c r="C4" s="93" t="s">
        <v>214</v>
      </c>
      <c r="D4" s="94">
        <v>46127</v>
      </c>
      <c r="E4" s="94">
        <v>46154</v>
      </c>
      <c r="F4" s="95">
        <f>E4-D4</f>
        <v>27</v>
      </c>
      <c r="G4" s="95" t="s">
        <v>218</v>
      </c>
      <c r="H4" s="96">
        <v>4</v>
      </c>
      <c r="I4" s="97">
        <f ca="1">SUM(F4:F6)</f>
        <v>106</v>
      </c>
      <c r="J4" s="95"/>
      <c r="K4" s="78"/>
    </row>
    <row r="5" spans="1:11" ht="41.4" x14ac:dyDescent="0.3">
      <c r="A5" s="91">
        <v>2</v>
      </c>
      <c r="B5" s="92" t="s">
        <v>211</v>
      </c>
      <c r="C5" s="93" t="s">
        <v>215</v>
      </c>
      <c r="D5" s="98">
        <v>46157</v>
      </c>
      <c r="E5" s="94">
        <v>46203</v>
      </c>
      <c r="F5" s="95">
        <f>E5-D5</f>
        <v>46</v>
      </c>
      <c r="G5" s="95" t="s">
        <v>218</v>
      </c>
      <c r="H5" s="96">
        <v>5</v>
      </c>
      <c r="I5" s="99">
        <f ca="1">AVERAGE(F4:F6)</f>
        <v>35.333333333333336</v>
      </c>
      <c r="J5" s="93" t="s">
        <v>238</v>
      </c>
      <c r="K5" s="78"/>
    </row>
    <row r="6" spans="1:11" ht="41.4" x14ac:dyDescent="0.3">
      <c r="A6" s="91">
        <v>3</v>
      </c>
      <c r="B6" s="92" t="s">
        <v>212</v>
      </c>
      <c r="C6" s="93" t="s">
        <v>216</v>
      </c>
      <c r="D6" s="98">
        <v>46174</v>
      </c>
      <c r="E6" s="100" t="s">
        <v>135</v>
      </c>
      <c r="F6" s="101">
        <f ca="1">TODAY()-D6</f>
        <v>33</v>
      </c>
      <c r="G6" s="95" t="s">
        <v>219</v>
      </c>
      <c r="H6" s="96">
        <v>5</v>
      </c>
      <c r="I6" s="96"/>
      <c r="J6" s="93" t="s">
        <v>237</v>
      </c>
      <c r="K6" s="78"/>
    </row>
    <row r="7" spans="1:11" x14ac:dyDescent="0.3">
      <c r="A7" s="91">
        <v>4</v>
      </c>
      <c r="B7" s="92" t="s">
        <v>213</v>
      </c>
      <c r="C7" s="93" t="s">
        <v>217</v>
      </c>
      <c r="D7" s="102" t="s">
        <v>135</v>
      </c>
      <c r="E7" s="100" t="s">
        <v>135</v>
      </c>
      <c r="F7" s="95" t="s">
        <v>135</v>
      </c>
      <c r="G7" s="95" t="s">
        <v>63</v>
      </c>
      <c r="H7" s="96">
        <v>0</v>
      </c>
      <c r="I7" s="96"/>
      <c r="J7" s="95"/>
      <c r="K7" s="78"/>
    </row>
    <row r="8" spans="1:11" x14ac:dyDescent="0.3">
      <c r="A8" s="78"/>
      <c r="B8" s="78"/>
      <c r="C8" s="78"/>
      <c r="D8" s="80"/>
      <c r="E8" s="103"/>
      <c r="F8" s="78"/>
      <c r="G8" s="78"/>
      <c r="H8" s="78"/>
      <c r="I8" s="78"/>
      <c r="J8" s="78"/>
      <c r="K8" s="78"/>
    </row>
    <row r="9" spans="1:11" x14ac:dyDescent="0.3">
      <c r="A9" s="78"/>
      <c r="B9" s="78"/>
      <c r="C9" s="78"/>
      <c r="D9" s="80"/>
      <c r="E9" s="81"/>
      <c r="F9" s="78"/>
      <c r="G9" s="78"/>
      <c r="H9" s="78"/>
      <c r="I9" s="78"/>
      <c r="J9" s="78"/>
      <c r="K9" s="78"/>
    </row>
    <row r="10" spans="1:11" x14ac:dyDescent="0.3">
      <c r="A10" s="78"/>
      <c r="B10" s="78"/>
      <c r="C10" s="78"/>
      <c r="D10" s="80"/>
      <c r="E10" s="81"/>
      <c r="F10" s="78"/>
      <c r="G10" s="78"/>
      <c r="H10" s="78"/>
      <c r="I10" s="78"/>
      <c r="J10" s="78"/>
      <c r="K10" s="78"/>
    </row>
    <row r="11" spans="1:11" x14ac:dyDescent="0.3">
      <c r="A11" s="78"/>
      <c r="B11" s="78"/>
      <c r="C11" s="78"/>
      <c r="D11" s="80"/>
      <c r="E11" s="81"/>
      <c r="F11" s="78"/>
      <c r="G11" s="78"/>
      <c r="H11" s="78"/>
      <c r="I11" s="78"/>
      <c r="J11" s="78"/>
      <c r="K11" s="78"/>
    </row>
    <row r="12" spans="1:11" x14ac:dyDescent="0.3">
      <c r="D12" s="74"/>
    </row>
    <row r="13" spans="1:11" x14ac:dyDescent="0.3">
      <c r="D13" s="74"/>
    </row>
    <row r="14" spans="1:11" x14ac:dyDescent="0.3">
      <c r="D14" s="74"/>
    </row>
    <row r="15" spans="1:11" x14ac:dyDescent="0.3">
      <c r="D15" s="74"/>
    </row>
    <row r="16" spans="1:11" x14ac:dyDescent="0.3">
      <c r="D16" s="74"/>
    </row>
    <row r="17" spans="4:10" x14ac:dyDescent="0.3">
      <c r="D17" s="74"/>
    </row>
    <row r="18" spans="4:10" x14ac:dyDescent="0.3">
      <c r="D18" s="74"/>
    </row>
    <row r="19" spans="4:10" x14ac:dyDescent="0.3">
      <c r="D19" s="74"/>
    </row>
    <row r="20" spans="4:10" x14ac:dyDescent="0.3">
      <c r="D20" s="74"/>
      <c r="J20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Personal-Budget_2026</vt:lpstr>
      <vt:lpstr>Junio-2026</vt:lpstr>
      <vt:lpstr>Junio-30-2026</vt:lpstr>
      <vt:lpstr>Julio-31-2026</vt:lpstr>
      <vt:lpstr>Libros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</dc:creator>
  <cp:keywords/>
  <dc:description/>
  <cp:lastModifiedBy>Edwin Villar</cp:lastModifiedBy>
  <dcterms:created xsi:type="dcterms:W3CDTF">2026-06-05T20:06:33Z</dcterms:created>
  <dcterms:modified xsi:type="dcterms:W3CDTF">2026-07-05T00:55:22Z</dcterms:modified>
  <cp:category/>
</cp:coreProperties>
</file>