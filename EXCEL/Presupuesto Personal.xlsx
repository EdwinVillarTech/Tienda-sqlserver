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4" documentId="8_{EE053816-48E3-4E91-A6AD-611A9303676C}" xr6:coauthVersionLast="47" xr6:coauthVersionMax="47" xr10:uidLastSave="{2933B2D6-B1F1-4430-BB71-35C809E9BCE4}"/>
  <bookViews>
    <workbookView xWindow="-108" yWindow="-108" windowWidth="23256" windowHeight="12456" firstSheet="1" activeTab="3" xr2:uid="{00000000-000D-0000-FFFF-FFFF00000000}"/>
  </bookViews>
  <sheets>
    <sheet name="Personal-Budget_2026" sheetId="2" r:id="rId1"/>
    <sheet name="Junio-2026" sheetId="1" r:id="rId2"/>
    <sheet name="Resumen" sheetId="3" r:id="rId3"/>
    <sheet name="Libros 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3" l="1"/>
  <c r="B16" i="3"/>
  <c r="B17" i="3"/>
  <c r="B18" i="3"/>
  <c r="B14" i="3"/>
  <c r="B95" i="1"/>
  <c r="B94" i="1"/>
  <c r="B93" i="1"/>
  <c r="B91" i="1"/>
  <c r="B90" i="1"/>
  <c r="G52" i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1" i="1"/>
  <c r="D10" i="1"/>
  <c r="D9" i="1"/>
  <c r="D8" i="1"/>
  <c r="D7" i="1"/>
  <c r="D5" i="1"/>
  <c r="D6" i="1"/>
  <c r="B19" i="3" l="1"/>
  <c r="D12" i="1"/>
</calcChain>
</file>

<file path=xl/sharedStrings.xml><?xml version="1.0" encoding="utf-8"?>
<sst xmlns="http://schemas.openxmlformats.org/spreadsheetml/2006/main" count="321" uniqueCount="221">
  <si>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</si>
  <si>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</si>
  <si>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</si>
  <si>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</si>
  <si>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</si>
  <si>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</si>
  <si>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</si>
  <si>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</si>
  <si>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</si>
  <si>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</si>
  <si>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</si>
  <si>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</si>
  <si>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</si>
  <si>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</si>
  <si>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</si>
  <si>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</si>
  <si>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</si>
  <si>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</si>
  <si>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</si>
  <si>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</si>
  <si>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</si>
  <si>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</si>
  <si>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</si>
  <si>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</si>
  <si>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</si>
  <si>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</si>
  <si>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</si>
  <si>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</si>
  <si>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</si>
  <si>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</si>
  <si>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</si>
  <si>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</si>
  <si>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</si>
  <si>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</si>
  <si>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</si>
  <si>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</si>
  <si>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</si>
  <si>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</si>
  <si>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</si>
  <si>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</si>
  <si>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</si>
  <si>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</si>
  <si>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</si>
  <si>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</si>
  <si>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</si>
  <si>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</si>
  <si>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</si>
  <si>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</si>
  <si>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</si>
  <si>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</si>
  <si>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</si>
  <si>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</si>
  <si>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</si>
  <si>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</si>
  <si>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</si>
  <si>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</si>
  <si>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</si>
  <si>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</si>
  <si>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</si>
  <si>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</si>
  <si>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</si>
  <si>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</si>
  <si>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</si>
  <si>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</si>
  <si>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</si>
  <si>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</si>
  <si>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</si>
  <si>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</si>
  <si>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</si>
  <si>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</si>
  <si>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</si>
  <si>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</si>
  <si>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</si>
  <si>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</si>
  <si>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</si>
  <si>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</si>
  <si>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</si>
  <si>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</si>
  <si>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</si>
  <si>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</si>
  <si>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</si>
  <si>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</si>
  <si>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</si>
  <si>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</si>
  <si>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</si>
  <si>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</si>
  <si>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</si>
  <si>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</si>
  <si>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</si>
  <si>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</si>
  <si>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</si>
  <si>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</si>
  <si>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</si>
  <si>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</si>
  <si>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</si>
  <si>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</si>
  <si>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</si>
  <si>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</si>
  <si>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</si>
  <si>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</si>
  <si>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</si>
  <si>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</si>
  <si>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</si>
  <si>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</si>
  <si>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</si>
  <si>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</si>
  <si>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</si>
  <si>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</si>
  <si>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</si>
  <si>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</si>
  <si>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</si>
  <si>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</si>
  <si>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</si>
  <si>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</si>
  <si>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</si>
  <si>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</si>
  <si>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</si>
  <si>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</si>
  <si>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</si>
  <si>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</si>
  <si>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</si>
  <si>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</si>
  <si>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</si>
  <si>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</si>
  <si>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</si>
  <si>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</si>
  <si>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</si>
  <si>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</si>
  <si>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</si>
  <si>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</si>
  <si>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</si>
  <si>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</si>
  <si>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</si>
  <si>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</si>
  <si>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</si>
  <si>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</si>
  <si>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</si>
  <si>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</si>
  <si>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</si>
  <si>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</si>
  <si>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</si>
  <si>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</si>
  <si>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</si>
  <si>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</si>
  <si>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</si>
  <si>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</si>
  <si>
    <t>A</t>
  </si>
  <si>
    <t>B</t>
  </si>
  <si>
    <t>C</t>
  </si>
  <si>
    <t>D</t>
  </si>
  <si>
    <t>E</t>
  </si>
  <si>
    <t>F</t>
  </si>
  <si>
    <t>Articulo</t>
  </si>
  <si>
    <t xml:space="preserve">Categoria </t>
  </si>
  <si>
    <t>Fecha Compra</t>
  </si>
  <si>
    <t>Precio</t>
  </si>
  <si>
    <t>Proximo Mantenimiento</t>
  </si>
  <si>
    <t>Garantia Hasta</t>
  </si>
  <si>
    <t xml:space="preserve">Estado </t>
  </si>
  <si>
    <t>Lentes</t>
  </si>
  <si>
    <t xml:space="preserve">Salud/Vision </t>
  </si>
  <si>
    <t xml:space="preserve">Lugar de Compra </t>
  </si>
  <si>
    <t xml:space="preserve">Numero de Serie </t>
  </si>
  <si>
    <t xml:space="preserve">Clove EyeWear </t>
  </si>
  <si>
    <t xml:space="preserve">VS AR CLOVE 65037 C9 52 18-142 Gris </t>
  </si>
  <si>
    <r>
      <t>Registro de Activos Personales</t>
    </r>
    <r>
      <rPr>
        <sz val="14"/>
        <color theme="1"/>
        <rFont val="Calibri"/>
        <family val="2"/>
        <scheme val="minor"/>
      </rPr>
      <t>.</t>
    </r>
  </si>
  <si>
    <t xml:space="preserve">Nuevo </t>
  </si>
  <si>
    <t xml:space="preserve">H </t>
  </si>
  <si>
    <t xml:space="preserve">I </t>
  </si>
  <si>
    <t xml:space="preserve">J </t>
  </si>
  <si>
    <t xml:space="preserve">K </t>
  </si>
  <si>
    <t xml:space="preserve">Comprobante/Recibo </t>
  </si>
  <si>
    <t xml:space="preserve">Gastos </t>
  </si>
  <si>
    <t xml:space="preserve">Fecha </t>
  </si>
  <si>
    <t xml:space="preserve">Descripcion </t>
  </si>
  <si>
    <t>Monto RD$</t>
  </si>
  <si>
    <t>JUN 12, 2026</t>
  </si>
  <si>
    <t>JUN 15, 2026</t>
  </si>
  <si>
    <t>Salud</t>
  </si>
  <si>
    <t>Temu</t>
  </si>
  <si>
    <t>Dentista</t>
  </si>
  <si>
    <t xml:space="preserve">Compras online </t>
  </si>
  <si>
    <t xml:space="preserve">Comida </t>
  </si>
  <si>
    <t>Almuerzo</t>
  </si>
  <si>
    <t>JUN , 2026</t>
  </si>
  <si>
    <t xml:space="preserve">Transporte </t>
  </si>
  <si>
    <t xml:space="preserve">Salidas </t>
  </si>
  <si>
    <t xml:space="preserve">Gasto Normal Controlado </t>
  </si>
  <si>
    <t xml:space="preserve">Sin Registro Aun </t>
  </si>
  <si>
    <t>Gasto Mas Elevado, !Cuidad!</t>
  </si>
  <si>
    <t>Total RD$</t>
  </si>
  <si>
    <t>Comida</t>
  </si>
  <si>
    <t>Transporte</t>
  </si>
  <si>
    <t>Otros</t>
  </si>
  <si>
    <t>Compras online</t>
  </si>
  <si>
    <t>Salidas</t>
  </si>
  <si>
    <t xml:space="preserve">Diligencia </t>
  </si>
  <si>
    <t>Fiestas</t>
  </si>
  <si>
    <t>JUN 8, 2027</t>
  </si>
  <si>
    <t>Vision</t>
  </si>
  <si>
    <t>Resumen</t>
  </si>
  <si>
    <t>Registro de Lectura 2026</t>
  </si>
  <si>
    <t>Libro</t>
  </si>
  <si>
    <t>Autor</t>
  </si>
  <si>
    <t xml:space="preserve">Fecha inicio </t>
  </si>
  <si>
    <t>Fecha Fin</t>
  </si>
  <si>
    <t xml:space="preserve">Dias Invertidos </t>
  </si>
  <si>
    <t xml:space="preserve">Leccion Principal </t>
  </si>
  <si>
    <t xml:space="preserve">Calificacion ⭐  </t>
  </si>
  <si>
    <t>#</t>
  </si>
  <si>
    <t xml:space="preserve">Padre Rico, Padre Pobre </t>
  </si>
  <si>
    <t xml:space="preserve">Habitos Atomicos </t>
  </si>
  <si>
    <t xml:space="preserve">Deja de Ser Tu </t>
  </si>
  <si>
    <t>La Psicologia del Dinero</t>
  </si>
  <si>
    <t>Robert Kiyosaki</t>
  </si>
  <si>
    <t xml:space="preserve">James Clear </t>
  </si>
  <si>
    <t xml:space="preserve">Joe Dispenza </t>
  </si>
  <si>
    <t xml:space="preserve">Morgan Housel </t>
  </si>
  <si>
    <t>04/15/2026</t>
  </si>
  <si>
    <t xml:space="preserve">Done </t>
  </si>
  <si>
    <t>Leyendo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</si>
</sst>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XDR&quot;* #,##0.00_-;\-&quot;XDR&quot;* #,##0.00_-;_-&quot;XDR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  <numFmt numFmtId="168" formatCode="dd/mm/yyyy;@"/>
    <numFmt numFmtId="170" formatCode="mm/dd/yyyy;@"/>
  </numFmts>
  <fonts count="2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5"/>
    </font>
    <font>
      <b/>
      <sz val="11"/>
      <color theme="7"/>
      <name val="Calibri"/>
      <family val="2"/>
      <scheme val="minor"/>
    </font>
    <font>
      <b/>
      <sz val="11"/>
      <color theme="7"/>
      <name val="Stencil"/>
      <family val="5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4" fillId="0" borderId="0" applyFont="0" applyFill="0" applyBorder="0" applyAlignment="0" applyProtection="0"/>
  </cellStyleXfs>
  <cellXfs count="10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12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1" xfId="0" applyNumberFormat="1" applyBorder="1">
      <alignment vertical="center"/>
    </xf>
    <xf numFmtId="0" fontId="2" fillId="0" borderId="0" xfId="0" applyFont="1" applyAlignment="1">
      <alignment horizontal="left" vertical="center"/>
    </xf>
    <xf numFmtId="0" fontId="12" fillId="0" borderId="1" xfId="0" applyFont="1" applyBorder="1">
      <alignment vertical="center"/>
    </xf>
    <xf numFmtId="168" fontId="0" fillId="0" borderId="1" xfId="0" applyNumberFormat="1" applyBorder="1">
      <alignment vertical="center"/>
    </xf>
    <xf numFmtId="168" fontId="0" fillId="0" borderId="1" xfId="0" applyNumberFormat="1" applyBorder="1" applyAlignment="1">
      <alignment vertical="center" wrapText="1"/>
    </xf>
    <xf numFmtId="43" fontId="0" fillId="0" borderId="1" xfId="2" applyFont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>
      <alignment vertical="center"/>
    </xf>
    <xf numFmtId="0" fontId="2" fillId="16" borderId="1" xfId="0" applyFont="1" applyFill="1" applyBorder="1" applyAlignment="1">
      <alignment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8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" xfId="0" applyFont="1" applyBorder="1">
      <alignment vertical="center"/>
    </xf>
    <xf numFmtId="167" fontId="13" fillId="0" borderId="1" xfId="3" applyNumberFormat="1" applyFont="1" applyBorder="1" applyAlignment="1">
      <alignment vertical="center"/>
    </xf>
    <xf numFmtId="0" fontId="8" fillId="12" borderId="1" xfId="0" applyFont="1" applyFill="1" applyBorder="1">
      <alignment vertical="center"/>
    </xf>
    <xf numFmtId="167" fontId="15" fillId="0" borderId="1" xfId="3" applyNumberFormat="1" applyFont="1" applyBorder="1" applyAlignment="1">
      <alignment vertical="center"/>
    </xf>
    <xf numFmtId="0" fontId="15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2" fillId="12" borderId="1" xfId="0" applyFont="1" applyFill="1" applyBorder="1">
      <alignment vertical="center"/>
    </xf>
    <xf numFmtId="167" fontId="0" fillId="0" borderId="0" xfId="0" applyNumberFormat="1">
      <alignment vertical="center"/>
    </xf>
    <xf numFmtId="0" fontId="16" fillId="12" borderId="1" xfId="0" applyFont="1" applyFill="1" applyBorder="1">
      <alignment vertical="center"/>
    </xf>
    <xf numFmtId="0" fontId="15" fillId="0" borderId="3" xfId="0" applyFont="1" applyBorder="1">
      <alignment vertical="center"/>
    </xf>
    <xf numFmtId="167" fontId="15" fillId="0" borderId="0" xfId="0" applyNumberFormat="1" applyFont="1">
      <alignment vertical="center"/>
    </xf>
    <xf numFmtId="0" fontId="15" fillId="17" borderId="1" xfId="0" applyFont="1" applyFill="1" applyBorder="1">
      <alignment vertical="center"/>
    </xf>
    <xf numFmtId="167" fontId="15" fillId="14" borderId="1" xfId="0" applyNumberFormat="1" applyFont="1" applyFill="1" applyBorder="1">
      <alignment vertical="center"/>
    </xf>
    <xf numFmtId="167" fontId="16" fillId="14" borderId="1" xfId="0" applyNumberFormat="1" applyFont="1" applyFill="1" applyBorder="1">
      <alignment vertical="center"/>
    </xf>
    <xf numFmtId="0" fontId="15" fillId="0" borderId="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17" fillId="0" borderId="0" xfId="0" applyFont="1">
      <alignment vertical="center"/>
    </xf>
    <xf numFmtId="14" fontId="0" fillId="0" borderId="0" xfId="0" applyNumberFormat="1">
      <alignment vertical="center"/>
    </xf>
    <xf numFmtId="170" fontId="0" fillId="0" borderId="0" xfId="0" applyNumberFormat="1">
      <alignment vertical="center"/>
    </xf>
    <xf numFmtId="168" fontId="0" fillId="0" borderId="0" xfId="0" applyNumberFormat="1">
      <alignment vertical="center"/>
    </xf>
    <xf numFmtId="170" fontId="0" fillId="0" borderId="1" xfId="0" applyNumberFormat="1" applyBorder="1">
      <alignment vertical="center"/>
    </xf>
    <xf numFmtId="168" fontId="0" fillId="0" borderId="1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/>
    </xf>
    <xf numFmtId="170" fontId="2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19" fillId="18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/>
    </xf>
    <xf numFmtId="170" fontId="18" fillId="19" borderId="1" xfId="0" applyNumberFormat="1" applyFont="1" applyFill="1" applyBorder="1" applyAlignment="1">
      <alignment horizontal="center" vertical="center" wrapText="1"/>
    </xf>
    <xf numFmtId="14" fontId="18" fillId="19" borderId="1" xfId="0" applyNumberFormat="1" applyFont="1" applyFill="1" applyBorder="1" applyAlignment="1">
      <alignment horizontal="center" vertical="center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6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'Junio-2026'!$A$34:$A$42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'Junio-2026'!$A$20:$A$28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179456</xdr:colOff>
      <xdr:row>75</xdr:row>
      <xdr:rowOff>132522</xdr:rowOff>
    </xdr:from>
    <xdr:to>
      <xdr:col>23</xdr:col>
      <xdr:colOff>563216</xdr:colOff>
      <xdr:row>110</xdr:row>
      <xdr:rowOff>176694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F8EA6A-1C31-3033-B60C-A1B29F5CF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1630" y="18453652"/>
          <a:ext cx="6468716" cy="8624955"/>
        </a:xfrm>
        <a:prstGeom prst="rect">
          <a:avLst/>
        </a:prstGeom>
      </xdr:spPr>
    </xdr:pic>
    <xdr:clientData/>
  </xdr:twoCellAnchor>
  <xdr:twoCellAnchor editAs="oneCell">
    <xdr:from>
      <xdr:col>8</xdr:col>
      <xdr:colOff>179454</xdr:colOff>
      <xdr:row>80</xdr:row>
      <xdr:rowOff>198781</xdr:rowOff>
    </xdr:from>
    <xdr:to>
      <xdr:col>8</xdr:col>
      <xdr:colOff>1391478</xdr:colOff>
      <xdr:row>80</xdr:row>
      <xdr:rowOff>1814814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F8AC32-6FD9-6023-D01B-83CE15836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063" y="19679477"/>
          <a:ext cx="1212024" cy="1616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R81"/>
  <sheetViews>
    <sheetView topLeftCell="A13" zoomScale="69" zoomScaleNormal="69" workbookViewId="0">
      <selection activeCell="I62" sqref="I62"/>
    </sheetView>
  </sheetViews>
  <sheetFormatPr defaultRowHeight="14.4" x14ac:dyDescent="0.3"/>
  <cols>
    <col min="1" max="1" width="11.109375" customWidth="1"/>
    <col min="2" max="2" width="14.5546875" customWidth="1"/>
    <col min="3" max="3" width="11.5546875" customWidth="1"/>
    <col min="4" max="4" width="13.88671875" bestFit="1" customWidth="1"/>
    <col min="5" max="6" width="11.5546875" customWidth="1"/>
    <col min="7" max="7" width="14.77734375" customWidth="1"/>
    <col min="8" max="8" width="13.21875" bestFit="1" customWidth="1"/>
    <col min="9" max="9" width="21.44140625" customWidth="1"/>
    <col min="10" max="10" width="15.33203125" customWidth="1"/>
    <col min="11" max="11" width="9" bestFit="1" customWidth="1"/>
    <col min="13" max="13" width="11.77734375" customWidth="1"/>
    <col min="14" max="14" width="9" bestFit="1" customWidth="1"/>
    <col min="15" max="15" width="10.77734375" bestFit="1" customWidth="1"/>
    <col min="16" max="16" width="12.33203125" customWidth="1"/>
    <col min="18" max="18" width="12.33203125" bestFit="1" customWidth="1"/>
  </cols>
  <sheetData>
    <row r="2" spans="1:18" ht="31.2" x14ac:dyDescent="0.3">
      <c r="A2" s="15" t="s">
        <v>44</v>
      </c>
    </row>
    <row r="4" spans="1:18" ht="23.4" x14ac:dyDescent="0.3">
      <c r="A4" s="16" t="s">
        <v>45</v>
      </c>
    </row>
    <row r="6" spans="1:18" ht="31.2" x14ac:dyDescent="0.3">
      <c r="A6" s="77" t="s">
        <v>46</v>
      </c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</row>
    <row r="8" spans="1:18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/>
      <c r="G8" s="34"/>
      <c r="H8" s="34" t="s">
        <v>50</v>
      </c>
      <c r="I8" s="34"/>
      <c r="J8" s="34" t="s">
        <v>51</v>
      </c>
      <c r="K8" s="34" t="s">
        <v>52</v>
      </c>
      <c r="L8" s="34" t="s">
        <v>53</v>
      </c>
      <c r="M8" s="34" t="s">
        <v>77</v>
      </c>
      <c r="N8" s="34" t="s">
        <v>54</v>
      </c>
      <c r="O8" s="34" t="s">
        <v>55</v>
      </c>
      <c r="P8" s="34" t="s">
        <v>56</v>
      </c>
      <c r="Q8" s="34" t="s">
        <v>57</v>
      </c>
      <c r="R8" s="34" t="s">
        <v>58</v>
      </c>
    </row>
    <row r="9" spans="1:18" x14ac:dyDescent="0.3">
      <c r="A9" s="26">
        <v>1</v>
      </c>
      <c r="B9" s="27" t="s">
        <v>59</v>
      </c>
      <c r="C9" s="27" t="s">
        <v>60</v>
      </c>
      <c r="D9" s="27"/>
      <c r="E9" s="27"/>
      <c r="F9" s="27"/>
      <c r="G9" s="27"/>
      <c r="H9" s="27" t="s">
        <v>61</v>
      </c>
      <c r="I9" s="27"/>
      <c r="J9" s="27" t="s">
        <v>62</v>
      </c>
      <c r="K9" s="28">
        <v>900</v>
      </c>
      <c r="L9" s="28">
        <v>1200</v>
      </c>
      <c r="M9" s="28"/>
      <c r="N9" s="27">
        <v>1</v>
      </c>
      <c r="O9" s="29">
        <v>46244</v>
      </c>
      <c r="P9" s="27" t="s">
        <v>63</v>
      </c>
      <c r="Q9" s="27" t="s">
        <v>64</v>
      </c>
      <c r="R9" s="30" t="s">
        <v>65</v>
      </c>
    </row>
    <row r="10" spans="1:18" x14ac:dyDescent="0.3">
      <c r="A10" s="26">
        <v>2</v>
      </c>
      <c r="B10" s="27" t="s">
        <v>66</v>
      </c>
      <c r="C10" s="27" t="s">
        <v>67</v>
      </c>
      <c r="D10" s="27"/>
      <c r="E10" s="27"/>
      <c r="F10" s="27"/>
      <c r="G10" s="27"/>
      <c r="H10" s="27" t="s">
        <v>68</v>
      </c>
      <c r="I10" s="27"/>
      <c r="J10" s="27" t="s">
        <v>69</v>
      </c>
      <c r="K10" s="28">
        <v>150</v>
      </c>
      <c r="L10" s="28">
        <v>250</v>
      </c>
      <c r="M10" s="28"/>
      <c r="N10" s="27">
        <v>1</v>
      </c>
      <c r="O10" s="29">
        <v>46249</v>
      </c>
      <c r="P10" s="27" t="s">
        <v>63</v>
      </c>
      <c r="Q10" s="27" t="s">
        <v>70</v>
      </c>
      <c r="R10" s="30" t="s">
        <v>71</v>
      </c>
    </row>
    <row r="11" spans="1:18" x14ac:dyDescent="0.3">
      <c r="A11" s="26">
        <v>3</v>
      </c>
      <c r="B11" s="27" t="s">
        <v>72</v>
      </c>
      <c r="C11" s="27" t="s">
        <v>60</v>
      </c>
      <c r="D11" s="27"/>
      <c r="E11" s="27"/>
      <c r="F11" s="27"/>
      <c r="G11" s="27"/>
      <c r="H11" s="27" t="s">
        <v>61</v>
      </c>
      <c r="I11" s="27"/>
      <c r="J11" s="27" t="s">
        <v>62</v>
      </c>
      <c r="K11" s="28">
        <v>250</v>
      </c>
      <c r="L11" s="28">
        <v>275</v>
      </c>
      <c r="M11" s="28"/>
      <c r="N11" s="27">
        <v>1</v>
      </c>
      <c r="O11" s="31">
        <v>46254</v>
      </c>
      <c r="P11" s="27" t="s">
        <v>63</v>
      </c>
      <c r="Q11" s="32" t="s">
        <v>64</v>
      </c>
      <c r="R11" s="33" t="s">
        <v>73</v>
      </c>
    </row>
    <row r="12" spans="1:18" x14ac:dyDescent="0.3">
      <c r="A12" s="26">
        <v>4</v>
      </c>
      <c r="B12" s="27" t="s">
        <v>74</v>
      </c>
      <c r="C12" s="27" t="s">
        <v>75</v>
      </c>
      <c r="D12" s="27"/>
      <c r="E12" s="27"/>
      <c r="F12" s="27"/>
      <c r="G12" s="27"/>
      <c r="H12" s="27" t="s">
        <v>61</v>
      </c>
      <c r="I12" s="27"/>
      <c r="J12" s="27" t="s">
        <v>69</v>
      </c>
      <c r="K12" s="28">
        <v>1500</v>
      </c>
      <c r="L12" s="28">
        <v>1575</v>
      </c>
      <c r="M12" s="28">
        <v>75</v>
      </c>
      <c r="N12" s="27">
        <v>1</v>
      </c>
      <c r="O12" s="31">
        <v>46175</v>
      </c>
      <c r="P12" s="27" t="s">
        <v>76</v>
      </c>
      <c r="Q12" s="32" t="s">
        <v>64</v>
      </c>
      <c r="R12" s="32" t="s">
        <v>71</v>
      </c>
    </row>
    <row r="16" spans="1:18" ht="31.2" x14ac:dyDescent="0.3">
      <c r="A16" s="15" t="s">
        <v>78</v>
      </c>
    </row>
    <row r="18" spans="1:14" ht="23.4" x14ac:dyDescent="0.3">
      <c r="A18" s="16" t="s">
        <v>45</v>
      </c>
    </row>
    <row r="20" spans="1:14" ht="31.2" x14ac:dyDescent="0.3">
      <c r="A20" s="78" t="s">
        <v>79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N20" s="16" t="s">
        <v>90</v>
      </c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4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/>
      <c r="G22" s="19"/>
      <c r="H22" s="19" t="s">
        <v>83</v>
      </c>
      <c r="I22" s="19"/>
      <c r="J22" s="19" t="s">
        <v>84</v>
      </c>
      <c r="K22" s="19" t="s">
        <v>85</v>
      </c>
      <c r="L22" s="19" t="s">
        <v>86</v>
      </c>
      <c r="N22" t="s">
        <v>91</v>
      </c>
    </row>
    <row r="23" spans="1:14" x14ac:dyDescent="0.3">
      <c r="A23" s="24" t="s">
        <v>87</v>
      </c>
      <c r="B23" s="24">
        <v>0</v>
      </c>
      <c r="C23" s="24">
        <v>0</v>
      </c>
      <c r="D23" s="24"/>
      <c r="E23" s="24"/>
      <c r="F23" s="24"/>
      <c r="G23" s="24"/>
      <c r="H23" s="24">
        <v>0</v>
      </c>
      <c r="I23" s="24"/>
      <c r="J23" s="24">
        <v>0</v>
      </c>
      <c r="K23" s="24">
        <v>0</v>
      </c>
      <c r="L23" s="24">
        <v>0</v>
      </c>
      <c r="N23" s="20"/>
    </row>
    <row r="24" spans="1:14" x14ac:dyDescent="0.3">
      <c r="A24" s="24" t="s">
        <v>88</v>
      </c>
      <c r="B24" s="24">
        <v>0</v>
      </c>
      <c r="C24" s="24">
        <v>0</v>
      </c>
      <c r="D24" s="24"/>
      <c r="E24" s="24"/>
      <c r="F24" s="24"/>
      <c r="G24" s="24"/>
      <c r="H24" s="24">
        <v>0</v>
      </c>
      <c r="I24" s="24"/>
      <c r="J24" s="24">
        <v>0</v>
      </c>
      <c r="K24" s="24">
        <v>0</v>
      </c>
      <c r="L24" s="24">
        <v>0</v>
      </c>
      <c r="N24" s="20" t="s">
        <v>92</v>
      </c>
    </row>
    <row r="25" spans="1:14" x14ac:dyDescent="0.3">
      <c r="A25" s="24" t="s">
        <v>89</v>
      </c>
      <c r="B25" s="24">
        <v>0</v>
      </c>
      <c r="C25" s="24">
        <v>0</v>
      </c>
      <c r="D25" s="24"/>
      <c r="E25" s="24"/>
      <c r="F25" s="24"/>
      <c r="G25" s="24"/>
      <c r="H25" s="24">
        <v>0</v>
      </c>
      <c r="I25" s="24"/>
      <c r="J25" s="24">
        <v>0</v>
      </c>
      <c r="K25" s="24">
        <v>0</v>
      </c>
      <c r="L25" s="24">
        <v>0</v>
      </c>
      <c r="N25" s="20" t="s">
        <v>93</v>
      </c>
    </row>
    <row r="26" spans="1:14" x14ac:dyDescent="0.3">
      <c r="N26" s="20" t="s">
        <v>94</v>
      </c>
    </row>
    <row r="27" spans="1:14" x14ac:dyDescent="0.3">
      <c r="N27" s="20" t="s">
        <v>95</v>
      </c>
    </row>
    <row r="28" spans="1:14" x14ac:dyDescent="0.3">
      <c r="N28" s="20" t="s">
        <v>96</v>
      </c>
    </row>
    <row r="29" spans="1:14" x14ac:dyDescent="0.3">
      <c r="N29" s="20" t="s">
        <v>97</v>
      </c>
    </row>
    <row r="30" spans="1:14" x14ac:dyDescent="0.3">
      <c r="N30" s="20" t="s">
        <v>71</v>
      </c>
    </row>
    <row r="33" spans="1:12" ht="31.2" x14ac:dyDescent="0.3">
      <c r="A33" s="79" t="s">
        <v>107</v>
      </c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</row>
    <row r="35" spans="1:12" ht="23.4" x14ac:dyDescent="0.3">
      <c r="A35" s="16" t="s">
        <v>45</v>
      </c>
    </row>
    <row r="37" spans="1:12" ht="31.2" x14ac:dyDescent="0.3">
      <c r="A37" s="80" t="s">
        <v>98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</row>
    <row r="39" spans="1:12" x14ac:dyDescent="0.3">
      <c r="A39" s="35" t="s">
        <v>99</v>
      </c>
      <c r="B39" s="35" t="s">
        <v>100</v>
      </c>
      <c r="C39" s="35" t="s">
        <v>101</v>
      </c>
      <c r="D39" s="35"/>
      <c r="E39" s="35"/>
      <c r="F39" s="35" t="s">
        <v>50</v>
      </c>
      <c r="G39" s="35" t="s">
        <v>56</v>
      </c>
      <c r="H39" s="35" t="s">
        <v>102</v>
      </c>
      <c r="I39" s="35"/>
      <c r="J39" s="35" t="s">
        <v>103</v>
      </c>
    </row>
    <row r="40" spans="1:12" ht="28.8" x14ac:dyDescent="0.3">
      <c r="A40" s="18" t="s">
        <v>129</v>
      </c>
      <c r="B40" s="37">
        <v>6500</v>
      </c>
      <c r="C40" s="21">
        <v>46357</v>
      </c>
      <c r="D40" s="21"/>
      <c r="E40" s="21"/>
      <c r="F40" s="18" t="s">
        <v>61</v>
      </c>
      <c r="G40" s="18" t="s">
        <v>104</v>
      </c>
      <c r="H40" s="36">
        <v>100</v>
      </c>
      <c r="I40" s="36"/>
      <c r="J40" s="36">
        <v>50</v>
      </c>
    </row>
    <row r="41" spans="1:12" ht="28.8" x14ac:dyDescent="0.3">
      <c r="A41" s="18" t="s">
        <v>105</v>
      </c>
      <c r="B41" s="37">
        <v>120</v>
      </c>
      <c r="C41" s="21">
        <v>46296</v>
      </c>
      <c r="D41" s="21"/>
      <c r="E41" s="21"/>
      <c r="F41" s="18" t="s">
        <v>61</v>
      </c>
      <c r="G41" s="18" t="s">
        <v>63</v>
      </c>
      <c r="H41" s="18">
        <v>0</v>
      </c>
      <c r="I41" s="18"/>
      <c r="J41" s="18">
        <v>1250</v>
      </c>
    </row>
    <row r="42" spans="1:12" ht="28.8" x14ac:dyDescent="0.3">
      <c r="A42" s="18" t="s">
        <v>106</v>
      </c>
      <c r="B42" s="37">
        <v>20000</v>
      </c>
      <c r="C42" s="21">
        <v>46388</v>
      </c>
      <c r="D42" s="21"/>
      <c r="E42" s="21"/>
      <c r="F42" s="18" t="s">
        <v>68</v>
      </c>
      <c r="G42" s="18" t="s">
        <v>63</v>
      </c>
      <c r="H42" s="2">
        <v>50</v>
      </c>
      <c r="I42" s="2"/>
      <c r="J42" s="18">
        <v>450</v>
      </c>
    </row>
    <row r="47" spans="1:12" ht="31.2" x14ac:dyDescent="0.3">
      <c r="A47" s="15" t="s">
        <v>108</v>
      </c>
    </row>
    <row r="49" spans="1:9" ht="23.4" x14ac:dyDescent="0.3">
      <c r="A49" s="16" t="s">
        <v>45</v>
      </c>
    </row>
    <row r="51" spans="1:9" ht="31.2" x14ac:dyDescent="0.3">
      <c r="A51" s="81" t="s">
        <v>109</v>
      </c>
      <c r="B51" s="81"/>
      <c r="C51" s="81"/>
      <c r="D51" s="81"/>
      <c r="E51" s="81"/>
      <c r="F51" s="81"/>
      <c r="G51" s="81"/>
      <c r="H51" s="81"/>
      <c r="I51" s="40"/>
    </row>
    <row r="53" spans="1:9" ht="28.8" x14ac:dyDescent="0.3">
      <c r="A53" s="22" t="s">
        <v>110</v>
      </c>
      <c r="B53" s="22" t="s">
        <v>111</v>
      </c>
      <c r="C53" s="22" t="s">
        <v>112</v>
      </c>
      <c r="D53" s="22"/>
      <c r="E53" s="22"/>
      <c r="F53" s="22" t="s">
        <v>113</v>
      </c>
    </row>
    <row r="54" spans="1:9" x14ac:dyDescent="0.3">
      <c r="A54" s="25">
        <v>46174</v>
      </c>
      <c r="B54" s="38">
        <v>850</v>
      </c>
      <c r="C54" s="24" t="s">
        <v>66</v>
      </c>
      <c r="D54" s="24"/>
      <c r="E54" s="24"/>
      <c r="F54" s="39">
        <v>300</v>
      </c>
    </row>
    <row r="55" spans="1:9" x14ac:dyDescent="0.3">
      <c r="A55" s="25">
        <v>46387</v>
      </c>
      <c r="B55" s="24">
        <v>0</v>
      </c>
      <c r="C55" s="24" t="s">
        <v>114</v>
      </c>
      <c r="D55" s="24"/>
      <c r="E55" s="24"/>
      <c r="F55" s="38">
        <v>50</v>
      </c>
    </row>
    <row r="60" spans="1:9" ht="31.2" x14ac:dyDescent="0.3">
      <c r="A60" s="15" t="s">
        <v>115</v>
      </c>
    </row>
    <row r="62" spans="1:9" x14ac:dyDescent="0.3">
      <c r="A62" t="s">
        <v>116</v>
      </c>
    </row>
    <row r="64" spans="1:9" ht="23.4" x14ac:dyDescent="0.3">
      <c r="A64" s="16" t="s">
        <v>45</v>
      </c>
    </row>
    <row r="66" spans="1:10" ht="31.2" x14ac:dyDescent="0.3">
      <c r="A66" s="76" t="s">
        <v>117</v>
      </c>
      <c r="B66" s="76"/>
      <c r="C66" s="76"/>
      <c r="D66" s="76"/>
      <c r="E66" s="76"/>
      <c r="F66" s="76"/>
      <c r="G66" s="76"/>
      <c r="H66" s="76"/>
      <c r="I66" s="76"/>
      <c r="J66" s="76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/>
      <c r="E68" s="23"/>
      <c r="F68" s="23" t="s">
        <v>134</v>
      </c>
      <c r="G68" s="23" t="s">
        <v>120</v>
      </c>
      <c r="H68" s="23" t="s">
        <v>140</v>
      </c>
      <c r="I68" s="23"/>
      <c r="J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133</v>
      </c>
      <c r="D69" s="17"/>
      <c r="E69" s="17"/>
      <c r="F69" s="43" t="s">
        <v>136</v>
      </c>
      <c r="G69" s="43" t="s">
        <v>138</v>
      </c>
      <c r="H69" s="21" t="s">
        <v>141</v>
      </c>
      <c r="I69" s="21"/>
      <c r="J69" s="17" t="s">
        <v>130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18"/>
      <c r="E70" s="18"/>
      <c r="F70" s="43" t="s">
        <v>137</v>
      </c>
      <c r="G70" s="43" t="s">
        <v>139</v>
      </c>
      <c r="H70" s="21">
        <v>46266</v>
      </c>
      <c r="I70" s="21"/>
      <c r="J70" s="17" t="s">
        <v>131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18"/>
      <c r="E71" s="18"/>
      <c r="F71" s="43" t="s">
        <v>137</v>
      </c>
      <c r="G71" s="21">
        <v>47696</v>
      </c>
      <c r="H71" s="21">
        <v>46327</v>
      </c>
      <c r="I71" s="21"/>
      <c r="J71" s="17" t="s">
        <v>132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18"/>
      <c r="E72" s="18"/>
      <c r="F72" s="41">
        <v>46296</v>
      </c>
      <c r="G72" s="17"/>
      <c r="H72" s="41">
        <v>46388</v>
      </c>
      <c r="I72" s="41"/>
      <c r="J72" s="17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18"/>
      <c r="E73" s="18"/>
      <c r="F73" s="41">
        <v>46388</v>
      </c>
      <c r="G73" s="43">
        <v>46447</v>
      </c>
      <c r="H73" s="44">
        <v>46539</v>
      </c>
      <c r="I73" s="44"/>
      <c r="J73" s="42" t="s">
        <v>142</v>
      </c>
    </row>
    <row r="74" spans="1:10" ht="15" customHeight="1" x14ac:dyDescent="0.3">
      <c r="A74" s="18" t="s">
        <v>143</v>
      </c>
      <c r="B74" s="18" t="s">
        <v>144</v>
      </c>
      <c r="C74" s="18" t="s">
        <v>145</v>
      </c>
      <c r="D74" s="18"/>
      <c r="E74" s="18"/>
      <c r="F74" s="41" t="s">
        <v>135</v>
      </c>
      <c r="G74" s="17" t="s">
        <v>135</v>
      </c>
      <c r="H74" s="45">
        <v>46539</v>
      </c>
      <c r="I74" s="45"/>
      <c r="J74" s="17" t="s">
        <v>135</v>
      </c>
    </row>
    <row r="77" spans="1:10" ht="18" x14ac:dyDescent="0.3">
      <c r="A77" s="75" t="s">
        <v>165</v>
      </c>
      <c r="B77" s="75"/>
      <c r="C77" s="75"/>
      <c r="D77" s="46"/>
      <c r="E77" s="46"/>
    </row>
    <row r="79" spans="1:10" x14ac:dyDescent="0.3">
      <c r="A79" s="47" t="s">
        <v>146</v>
      </c>
      <c r="B79" s="47" t="s">
        <v>147</v>
      </c>
      <c r="C79" s="47" t="s">
        <v>148</v>
      </c>
      <c r="D79" s="47" t="s">
        <v>149</v>
      </c>
      <c r="E79" s="47" t="s">
        <v>150</v>
      </c>
      <c r="F79" s="47" t="s">
        <v>151</v>
      </c>
      <c r="G79" s="47" t="s">
        <v>167</v>
      </c>
      <c r="H79" s="47" t="s">
        <v>168</v>
      </c>
      <c r="I79" s="47" t="s">
        <v>169</v>
      </c>
      <c r="J79" s="47" t="s">
        <v>170</v>
      </c>
    </row>
    <row r="80" spans="1:10" ht="28.8" x14ac:dyDescent="0.3">
      <c r="A80" s="51" t="s">
        <v>152</v>
      </c>
      <c r="B80" s="51" t="s">
        <v>153</v>
      </c>
      <c r="C80" s="52" t="s">
        <v>154</v>
      </c>
      <c r="D80" s="52" t="s">
        <v>161</v>
      </c>
      <c r="E80" s="52" t="s">
        <v>162</v>
      </c>
      <c r="F80" s="51" t="s">
        <v>155</v>
      </c>
      <c r="G80" s="52" t="s">
        <v>156</v>
      </c>
      <c r="H80" s="53" t="s">
        <v>157</v>
      </c>
      <c r="I80" s="54" t="s">
        <v>171</v>
      </c>
      <c r="J80" s="52" t="s">
        <v>158</v>
      </c>
    </row>
    <row r="81" spans="1:10" ht="156" customHeight="1" x14ac:dyDescent="0.3">
      <c r="A81" s="2" t="s">
        <v>159</v>
      </c>
      <c r="B81" s="2" t="s">
        <v>160</v>
      </c>
      <c r="C81" s="48">
        <v>46181</v>
      </c>
      <c r="D81" s="48" t="s">
        <v>163</v>
      </c>
      <c r="E81" s="49" t="s">
        <v>164</v>
      </c>
      <c r="F81" s="50">
        <v>3800</v>
      </c>
      <c r="G81" s="2"/>
      <c r="H81" s="48">
        <v>46184</v>
      </c>
      <c r="I81" s="48"/>
      <c r="J81" s="2" t="s">
        <v>166</v>
      </c>
    </row>
  </sheetData>
  <mergeCells count="7">
    <mergeCell ref="A77:C77"/>
    <mergeCell ref="A66:J66"/>
    <mergeCell ref="A6:R6"/>
    <mergeCell ref="A20:L20"/>
    <mergeCell ref="A33:L33"/>
    <mergeCell ref="A37:L37"/>
    <mergeCell ref="A51:H51"/>
  </mergeCells>
  <phoneticPr fontId="11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'Personal-Budget_2026'!G:G</xm:f>
              <xm:sqref>G68</xm:sqref>
            </x14:sparkline>
            <x14:sparkline>
              <xm:f>'Personal-Budget_2026'!H:H</xm:f>
              <xm:sqref>H68</xm:sqref>
            </x14:sparkline>
            <x14:sparkline>
              <xm:f>'Personal-Budget_2026'!I:I</xm:f>
              <xm:sqref>I68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sheetPr>
    <tabColor theme="1"/>
  </sheetPr>
  <dimension ref="A1:G96"/>
  <sheetViews>
    <sheetView topLeftCell="A28" zoomScale="82" zoomScaleNormal="82" workbookViewId="0">
      <selection activeCell="A78" sqref="A78:G96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84" t="s">
        <v>4</v>
      </c>
      <c r="B1" s="85"/>
      <c r="C1" s="85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86" t="s">
        <v>13</v>
      </c>
      <c r="B17" s="86"/>
      <c r="C17" s="86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86" t="s">
        <v>13</v>
      </c>
      <c r="B31" s="86"/>
      <c r="C31" s="86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87" t="s">
        <v>27</v>
      </c>
      <c r="B46" s="87"/>
      <c r="C46" s="87"/>
      <c r="D46" s="87"/>
      <c r="E46" s="87"/>
      <c r="F46" s="87"/>
      <c r="G46" s="87"/>
    </row>
    <row r="48" spans="1:7" ht="18" x14ac:dyDescent="0.3">
      <c r="A48" s="88" t="s">
        <v>28</v>
      </c>
      <c r="B48" s="88"/>
      <c r="C48" s="88"/>
      <c r="D48" s="88"/>
      <c r="E48" s="88"/>
      <c r="F48" s="88"/>
      <c r="G48" s="88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  <row r="78" spans="1:5" ht="18" x14ac:dyDescent="0.3">
      <c r="A78" s="57" t="s">
        <v>172</v>
      </c>
      <c r="B78" s="58"/>
      <c r="C78" s="58"/>
      <c r="D78" s="58"/>
    </row>
    <row r="79" spans="1:5" ht="18" x14ac:dyDescent="0.3">
      <c r="A79" s="61" t="s">
        <v>173</v>
      </c>
      <c r="B79" s="61" t="s">
        <v>153</v>
      </c>
      <c r="C79" s="61" t="s">
        <v>174</v>
      </c>
      <c r="D79" s="61" t="s">
        <v>175</v>
      </c>
    </row>
    <row r="80" spans="1:5" ht="18" x14ac:dyDescent="0.3">
      <c r="A80" s="59" t="s">
        <v>176</v>
      </c>
      <c r="B80" s="59" t="s">
        <v>178</v>
      </c>
      <c r="C80" s="59" t="s">
        <v>180</v>
      </c>
      <c r="D80" s="60">
        <v>1000</v>
      </c>
      <c r="E80" s="64" t="s">
        <v>187</v>
      </c>
    </row>
    <row r="81" spans="1:7" ht="18" x14ac:dyDescent="0.3">
      <c r="A81" s="59" t="s">
        <v>177</v>
      </c>
      <c r="B81" s="59" t="s">
        <v>181</v>
      </c>
      <c r="C81" s="59" t="s">
        <v>179</v>
      </c>
      <c r="D81" s="60">
        <v>1083</v>
      </c>
      <c r="E81" s="82" t="s">
        <v>189</v>
      </c>
      <c r="F81" s="83"/>
      <c r="G81" s="83"/>
    </row>
    <row r="82" spans="1:7" ht="18" x14ac:dyDescent="0.3">
      <c r="A82" s="59" t="s">
        <v>184</v>
      </c>
      <c r="B82" s="59" t="s">
        <v>182</v>
      </c>
      <c r="C82" s="59" t="s">
        <v>183</v>
      </c>
      <c r="D82" s="60">
        <v>0</v>
      </c>
      <c r="E82" s="64" t="s">
        <v>188</v>
      </c>
    </row>
    <row r="83" spans="1:7" ht="18" x14ac:dyDescent="0.3">
      <c r="A83" s="59" t="s">
        <v>184</v>
      </c>
      <c r="B83" s="59" t="s">
        <v>195</v>
      </c>
      <c r="C83" s="59" t="s">
        <v>197</v>
      </c>
      <c r="D83" s="60">
        <v>0</v>
      </c>
      <c r="E83" s="58"/>
    </row>
    <row r="84" spans="1:7" ht="18" x14ac:dyDescent="0.3">
      <c r="A84" s="59" t="s">
        <v>198</v>
      </c>
      <c r="B84" s="59" t="s">
        <v>178</v>
      </c>
      <c r="C84" s="59" t="s">
        <v>199</v>
      </c>
      <c r="D84" s="60">
        <v>3800</v>
      </c>
      <c r="E84" s="58"/>
    </row>
    <row r="85" spans="1:7" ht="18" x14ac:dyDescent="0.3">
      <c r="A85" s="59" t="s">
        <v>184</v>
      </c>
      <c r="B85" s="59" t="s">
        <v>185</v>
      </c>
      <c r="C85" s="59" t="s">
        <v>196</v>
      </c>
      <c r="D85" s="60">
        <v>0</v>
      </c>
    </row>
    <row r="88" spans="1:7" ht="18" x14ac:dyDescent="0.3">
      <c r="A88" s="58" t="s">
        <v>200</v>
      </c>
      <c r="C88" s="66"/>
    </row>
    <row r="89" spans="1:7" x14ac:dyDescent="0.3">
      <c r="A89" s="65" t="s">
        <v>153</v>
      </c>
      <c r="B89" s="65" t="s">
        <v>190</v>
      </c>
    </row>
    <row r="90" spans="1:7" x14ac:dyDescent="0.3">
      <c r="A90" s="2" t="s">
        <v>191</v>
      </c>
      <c r="B90" s="2">
        <f>SUMIF('Junio-2026'!C:C,"Comida",'Junio-2026'!D:D)</f>
        <v>0</v>
      </c>
    </row>
    <row r="91" spans="1:7" x14ac:dyDescent="0.3">
      <c r="A91" s="2" t="s">
        <v>192</v>
      </c>
      <c r="B91" s="2">
        <f>SUMIF('Junio-2026'!C:C,"Transporte",'Junio-2026'!D:D)</f>
        <v>0</v>
      </c>
    </row>
    <row r="92" spans="1:7" x14ac:dyDescent="0.3">
      <c r="A92" s="2" t="s">
        <v>178</v>
      </c>
      <c r="B92" s="2"/>
    </row>
    <row r="93" spans="1:7" x14ac:dyDescent="0.3">
      <c r="A93" s="2" t="s">
        <v>194</v>
      </c>
      <c r="B93" s="2">
        <f>SUMIF('Junio-2026'!B167:B172,"Compras online", 'Junio-2026'!D167:D172)</f>
        <v>0</v>
      </c>
    </row>
    <row r="94" spans="1:7" x14ac:dyDescent="0.3">
      <c r="A94" s="2" t="s">
        <v>186</v>
      </c>
      <c r="B94" s="2">
        <f>SUMIF('Junio-2026'!B167:B172,"Compras online", 'Junio-2026'!D167:D172)</f>
        <v>0</v>
      </c>
    </row>
    <row r="95" spans="1:7" x14ac:dyDescent="0.3">
      <c r="A95" s="2" t="s">
        <v>178</v>
      </c>
      <c r="B95" s="2">
        <f>SUMIF('Junio-2026'!B167:B172,"Salud",'Junio-2026'!D167:D172)</f>
        <v>0</v>
      </c>
    </row>
    <row r="96" spans="1:7" x14ac:dyDescent="0.3">
      <c r="A96" s="2" t="s">
        <v>193</v>
      </c>
      <c r="B96" s="2"/>
    </row>
  </sheetData>
  <mergeCells count="6">
    <mergeCell ref="E81:G81"/>
    <mergeCell ref="A1:C1"/>
    <mergeCell ref="A17:C17"/>
    <mergeCell ref="A31:C31"/>
    <mergeCell ref="A46:G46"/>
    <mergeCell ref="A48:G48"/>
  </mergeCells>
  <phoneticPr fontId="11" type="noConversion"/>
  <conditionalFormatting sqref="D80:D85">
    <cfRule type="cellIs" dxfId="15" priority="11" operator="greaterThan">
      <formula>1050</formula>
    </cfRule>
    <cfRule type="cellIs" dxfId="14" priority="12" operator="greaterThan">
      <formula>500</formula>
    </cfRule>
    <cfRule type="cellIs" dxfId="13" priority="13" operator="lessThan">
      <formula>500</formula>
    </cfRule>
    <cfRule type="cellIs" dxfId="12" priority="14" operator="lessThan">
      <formula>500</formula>
    </cfRule>
    <cfRule type="cellIs" dxfId="11" priority="15" operator="greaterThan">
      <formula>1050</formula>
    </cfRule>
    <cfRule type="cellIs" dxfId="10" priority="16" operator="greaterThan">
      <formula>500</formula>
    </cfRule>
    <cfRule type="cellIs" dxfId="9" priority="17" operator="greaterThan">
      <formula>1000</formula>
    </cfRule>
    <cfRule type="cellIs" dxfId="8" priority="18" operator="greaterThan">
      <formula>" $ 1,100.00"</formula>
    </cfRule>
    <cfRule type="colorScale" priority="19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DEFF3-7E62-4F9E-9708-A59A85B67BFA}">
  <sheetPr>
    <tabColor rgb="FFFF0000"/>
  </sheetPr>
  <dimension ref="A2:G20"/>
  <sheetViews>
    <sheetView workbookViewId="0">
      <selection activeCell="B19" sqref="B19"/>
    </sheetView>
  </sheetViews>
  <sheetFormatPr defaultRowHeight="14.4" x14ac:dyDescent="0.3"/>
  <cols>
    <col min="1" max="1" width="17.77734375" bestFit="1" customWidth="1"/>
    <col min="2" max="2" width="17.88671875" bestFit="1" customWidth="1"/>
    <col min="3" max="3" width="14.109375" bestFit="1" customWidth="1"/>
    <col min="4" max="4" width="16.21875" bestFit="1" customWidth="1"/>
    <col min="5" max="5" width="28.44140625" bestFit="1" customWidth="1"/>
  </cols>
  <sheetData>
    <row r="2" spans="1:7" ht="15.6" x14ac:dyDescent="0.3">
      <c r="A2" s="56" t="s">
        <v>172</v>
      </c>
      <c r="B2" s="55"/>
      <c r="C2" s="55"/>
      <c r="D2" s="55"/>
      <c r="E2" s="55"/>
      <c r="F2" s="55"/>
      <c r="G2" s="55"/>
    </row>
    <row r="3" spans="1:7" ht="15.6" x14ac:dyDescent="0.3">
      <c r="A3" s="67" t="s">
        <v>173</v>
      </c>
      <c r="B3" s="67" t="s">
        <v>153</v>
      </c>
      <c r="C3" s="67" t="s">
        <v>174</v>
      </c>
      <c r="D3" s="67" t="s">
        <v>175</v>
      </c>
      <c r="E3" s="55"/>
      <c r="F3" s="55"/>
      <c r="G3" s="55"/>
    </row>
    <row r="4" spans="1:7" ht="15.6" x14ac:dyDescent="0.3">
      <c r="A4" s="63" t="s">
        <v>176</v>
      </c>
      <c r="B4" s="63" t="s">
        <v>178</v>
      </c>
      <c r="C4" s="63" t="s">
        <v>180</v>
      </c>
      <c r="D4" s="62">
        <v>1000</v>
      </c>
      <c r="E4" s="68" t="s">
        <v>187</v>
      </c>
      <c r="F4" s="55"/>
      <c r="G4" s="55"/>
    </row>
    <row r="5" spans="1:7" ht="15.6" x14ac:dyDescent="0.3">
      <c r="A5" s="63" t="s">
        <v>177</v>
      </c>
      <c r="B5" s="63" t="s">
        <v>181</v>
      </c>
      <c r="C5" s="63" t="s">
        <v>179</v>
      </c>
      <c r="D5" s="62">
        <v>1083</v>
      </c>
      <c r="E5" s="73" t="s">
        <v>189</v>
      </c>
      <c r="F5" s="74"/>
      <c r="G5" s="74"/>
    </row>
    <row r="6" spans="1:7" ht="15.6" x14ac:dyDescent="0.3">
      <c r="A6" s="63" t="s">
        <v>184</v>
      </c>
      <c r="B6" s="63" t="s">
        <v>182</v>
      </c>
      <c r="C6" s="63" t="s">
        <v>183</v>
      </c>
      <c r="D6" s="62">
        <v>0</v>
      </c>
      <c r="E6" s="68" t="s">
        <v>188</v>
      </c>
      <c r="F6" s="55"/>
      <c r="G6" s="55"/>
    </row>
    <row r="7" spans="1:7" ht="15.6" x14ac:dyDescent="0.3">
      <c r="A7" s="63" t="s">
        <v>184</v>
      </c>
      <c r="B7" s="63" t="s">
        <v>195</v>
      </c>
      <c r="C7" s="63" t="s">
        <v>197</v>
      </c>
      <c r="D7" s="62">
        <v>0</v>
      </c>
      <c r="E7" s="55"/>
      <c r="F7" s="55"/>
      <c r="G7" s="55"/>
    </row>
    <row r="8" spans="1:7" ht="15.6" x14ac:dyDescent="0.3">
      <c r="A8" s="63" t="s">
        <v>198</v>
      </c>
      <c r="B8" s="63" t="s">
        <v>178</v>
      </c>
      <c r="C8" s="63" t="s">
        <v>199</v>
      </c>
      <c r="D8" s="62">
        <v>3800</v>
      </c>
      <c r="E8" s="55"/>
      <c r="F8" s="55"/>
      <c r="G8" s="55"/>
    </row>
    <row r="9" spans="1:7" ht="15.6" x14ac:dyDescent="0.3">
      <c r="A9" s="63" t="s">
        <v>184</v>
      </c>
      <c r="B9" s="63" t="s">
        <v>185</v>
      </c>
      <c r="C9" s="63" t="s">
        <v>196</v>
      </c>
      <c r="D9" s="62">
        <v>0</v>
      </c>
      <c r="E9" s="55"/>
      <c r="F9" s="55"/>
      <c r="G9" s="55"/>
    </row>
    <row r="10" spans="1:7" ht="15.6" x14ac:dyDescent="0.3">
      <c r="A10" s="55"/>
      <c r="B10" s="55"/>
      <c r="C10" s="55"/>
      <c r="D10" s="55"/>
      <c r="E10" s="55"/>
      <c r="F10" s="55"/>
      <c r="G10" s="55"/>
    </row>
    <row r="11" spans="1:7" ht="15.6" x14ac:dyDescent="0.3">
      <c r="A11" s="55"/>
      <c r="B11" s="55"/>
      <c r="C11" s="55"/>
      <c r="D11" s="55"/>
      <c r="E11" s="55"/>
      <c r="F11" s="55"/>
      <c r="G11" s="55"/>
    </row>
    <row r="12" spans="1:7" ht="15.6" x14ac:dyDescent="0.3">
      <c r="A12" s="55" t="s">
        <v>200</v>
      </c>
      <c r="B12" s="55"/>
      <c r="C12" s="69"/>
      <c r="D12" s="55"/>
      <c r="E12" s="55"/>
      <c r="F12" s="55"/>
      <c r="G12" s="55"/>
    </row>
    <row r="13" spans="1:7" ht="15.6" x14ac:dyDescent="0.3">
      <c r="A13" s="67" t="s">
        <v>153</v>
      </c>
      <c r="B13" s="67" t="s">
        <v>190</v>
      </c>
      <c r="C13" s="55"/>
      <c r="D13" s="55"/>
      <c r="E13" s="55"/>
      <c r="F13" s="55"/>
      <c r="G13" s="55"/>
    </row>
    <row r="14" spans="1:7" ht="15.6" x14ac:dyDescent="0.3">
      <c r="A14" s="70" t="s">
        <v>181</v>
      </c>
      <c r="B14" s="71">
        <f ca="1">SUMIF($B$4:$B$9, A14, $D$4:$D$8)</f>
        <v>1083</v>
      </c>
      <c r="C14" s="55"/>
      <c r="D14" s="55"/>
      <c r="E14" s="55"/>
      <c r="F14" s="55"/>
      <c r="G14" s="55"/>
    </row>
    <row r="15" spans="1:7" ht="15.6" x14ac:dyDescent="0.3">
      <c r="A15" s="70" t="s">
        <v>191</v>
      </c>
      <c r="B15" s="71">
        <f t="shared" ref="B15:B18" ca="1" si="0">SUMIF($B$4:$B$9, A15, $D$4:$D$8)</f>
        <v>0</v>
      </c>
      <c r="C15" s="55"/>
      <c r="D15" s="55"/>
      <c r="E15" s="55"/>
      <c r="F15" s="55"/>
      <c r="G15" s="55"/>
    </row>
    <row r="16" spans="1:7" ht="15.6" x14ac:dyDescent="0.3">
      <c r="A16" s="70" t="s">
        <v>192</v>
      </c>
      <c r="B16" s="71">
        <f t="shared" ca="1" si="0"/>
        <v>0</v>
      </c>
      <c r="C16" s="55"/>
      <c r="D16" s="55"/>
      <c r="E16" s="55"/>
      <c r="F16" s="55"/>
      <c r="G16" s="55"/>
    </row>
    <row r="17" spans="1:7" ht="15.6" x14ac:dyDescent="0.3">
      <c r="A17" s="70" t="s">
        <v>178</v>
      </c>
      <c r="B17" s="71">
        <f t="shared" ca="1" si="0"/>
        <v>4800</v>
      </c>
      <c r="C17" s="55"/>
      <c r="D17" s="55"/>
      <c r="E17" s="55"/>
      <c r="F17" s="55"/>
      <c r="G17" s="55"/>
    </row>
    <row r="18" spans="1:7" ht="15.6" x14ac:dyDescent="0.3">
      <c r="A18" s="70" t="s">
        <v>186</v>
      </c>
      <c r="B18" s="71">
        <f t="shared" ca="1" si="0"/>
        <v>0</v>
      </c>
      <c r="C18" s="55"/>
      <c r="D18" s="55"/>
      <c r="E18" s="55"/>
      <c r="F18" s="55"/>
      <c r="G18" s="55"/>
    </row>
    <row r="19" spans="1:7" ht="15.6" x14ac:dyDescent="0.3">
      <c r="A19" s="70" t="s">
        <v>193</v>
      </c>
      <c r="B19" s="72">
        <f ca="1">+SUM(B14:B18)</f>
        <v>5883</v>
      </c>
      <c r="C19" s="55"/>
      <c r="D19" s="55"/>
      <c r="E19" s="55"/>
      <c r="F19" s="55"/>
      <c r="G19" s="55"/>
    </row>
    <row r="20" spans="1:7" ht="15.6" x14ac:dyDescent="0.3">
      <c r="A20" s="55"/>
      <c r="B20" s="55"/>
      <c r="C20" s="55"/>
      <c r="D20" s="55"/>
      <c r="E20" s="55"/>
      <c r="F20" s="55"/>
      <c r="G20" s="55"/>
    </row>
  </sheetData>
  <mergeCells count="1">
    <mergeCell ref="E5:G5"/>
  </mergeCells>
  <conditionalFormatting sqref="D4:D9">
    <cfRule type="cellIs" dxfId="7" priority="1" operator="greaterThan">
      <formula>1050</formula>
    </cfRule>
    <cfRule type="cellIs" dxfId="6" priority="2" operator="greaterThan">
      <formula>500</formula>
    </cfRule>
    <cfRule type="cellIs" dxfId="5" priority="3" operator="lessThan">
      <formula>500</formula>
    </cfRule>
    <cfRule type="cellIs" dxfId="4" priority="4" operator="lessThan">
      <formula>500</formula>
    </cfRule>
    <cfRule type="cellIs" dxfId="3" priority="5" operator="greaterThan">
      <formula>1050</formula>
    </cfRule>
    <cfRule type="cellIs" dxfId="2" priority="6" operator="greaterThan">
      <formula>500</formula>
    </cfRule>
    <cfRule type="cellIs" dxfId="1" priority="7" operator="greaterThan">
      <formula>1000</formula>
    </cfRule>
    <cfRule type="cellIs" dxfId="0" priority="8" operator="greaterThan">
      <formula>" $ 1,100.00"</formula>
    </cfRule>
    <cfRule type="colorScale" priority="9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5F3-00B0-4AD2-8853-B354DEE4CC20}">
  <sheetPr>
    <tabColor rgb="FF002060"/>
  </sheetPr>
  <dimension ref="A1:I20"/>
  <sheetViews>
    <sheetView tabSelected="1" workbookViewId="0">
      <selection activeCell="F11" sqref="F11"/>
    </sheetView>
  </sheetViews>
  <sheetFormatPr defaultRowHeight="14.4" x14ac:dyDescent="0.3"/>
  <cols>
    <col min="1" max="1" width="2.109375" bestFit="1" customWidth="1"/>
    <col min="2" max="2" width="27.77734375" bestFit="1" customWidth="1"/>
    <col min="3" max="3" width="13.6640625" style="89" bestFit="1" customWidth="1"/>
    <col min="4" max="4" width="10.5546875" bestFit="1" customWidth="1"/>
    <col min="5" max="5" width="10.5546875" style="92" bestFit="1" customWidth="1"/>
    <col min="6" max="6" width="13.109375" bestFit="1" customWidth="1"/>
    <col min="7" max="7" width="9.109375" bestFit="1" customWidth="1"/>
    <col min="8" max="8" width="10.44140625" bestFit="1" customWidth="1"/>
    <col min="9" max="9" width="14.6640625" bestFit="1" customWidth="1"/>
  </cols>
  <sheetData>
    <row r="1" spans="1:9" ht="18" x14ac:dyDescent="0.3">
      <c r="B1" s="57" t="s">
        <v>201</v>
      </c>
      <c r="D1" s="93"/>
    </row>
    <row r="2" spans="1:9" x14ac:dyDescent="0.3">
      <c r="A2" s="98"/>
      <c r="B2" s="98"/>
      <c r="C2" s="99"/>
      <c r="D2" s="100"/>
      <c r="E2" s="101"/>
      <c r="F2" s="98"/>
      <c r="G2" s="98"/>
      <c r="H2" s="98"/>
      <c r="I2" s="98"/>
    </row>
    <row r="3" spans="1:9" s="90" customFormat="1" ht="28.8" x14ac:dyDescent="0.3">
      <c r="A3" s="102" t="s">
        <v>209</v>
      </c>
      <c r="B3" s="103" t="s">
        <v>202</v>
      </c>
      <c r="C3" s="104" t="s">
        <v>203</v>
      </c>
      <c r="D3" s="105" t="s">
        <v>204</v>
      </c>
      <c r="E3" s="106" t="s">
        <v>205</v>
      </c>
      <c r="F3" s="103" t="s">
        <v>206</v>
      </c>
      <c r="G3" s="103" t="s">
        <v>56</v>
      </c>
      <c r="H3" s="103" t="s">
        <v>208</v>
      </c>
      <c r="I3" s="103" t="s">
        <v>207</v>
      </c>
    </row>
    <row r="4" spans="1:9" x14ac:dyDescent="0.3">
      <c r="A4" s="42">
        <v>1</v>
      </c>
      <c r="B4" s="2" t="s">
        <v>210</v>
      </c>
      <c r="C4" s="18" t="s">
        <v>214</v>
      </c>
      <c r="D4" s="48" t="s">
        <v>218</v>
      </c>
      <c r="E4" s="48">
        <v>46154</v>
      </c>
      <c r="F4" s="2"/>
      <c r="G4" s="2" t="s">
        <v>219</v>
      </c>
      <c r="H4" s="14">
        <v>4</v>
      </c>
      <c r="I4" s="2"/>
    </row>
    <row r="5" spans="1:9" x14ac:dyDescent="0.3">
      <c r="A5" s="42">
        <v>2</v>
      </c>
      <c r="B5" s="2" t="s">
        <v>211</v>
      </c>
      <c r="C5" s="18" t="s">
        <v>215</v>
      </c>
      <c r="D5" s="95">
        <v>46157</v>
      </c>
      <c r="E5" s="48">
        <v>46203</v>
      </c>
      <c r="F5" s="2" t="s">
        <v>135</v>
      </c>
      <c r="G5" s="2" t="s">
        <v>219</v>
      </c>
      <c r="H5" s="14">
        <v>5</v>
      </c>
      <c r="I5" s="2"/>
    </row>
    <row r="6" spans="1:9" x14ac:dyDescent="0.3">
      <c r="A6" s="42">
        <v>3</v>
      </c>
      <c r="B6" s="2" t="s">
        <v>212</v>
      </c>
      <c r="C6" s="18" t="s">
        <v>216</v>
      </c>
      <c r="D6" s="95">
        <v>46174</v>
      </c>
      <c r="E6" s="96" t="s">
        <v>135</v>
      </c>
      <c r="F6" s="2" t="s">
        <v>135</v>
      </c>
      <c r="G6" s="2" t="s">
        <v>220</v>
      </c>
      <c r="H6" s="14">
        <v>5</v>
      </c>
      <c r="I6" s="2"/>
    </row>
    <row r="7" spans="1:9" x14ac:dyDescent="0.3">
      <c r="A7" s="42">
        <v>4</v>
      </c>
      <c r="B7" s="2" t="s">
        <v>213</v>
      </c>
      <c r="C7" s="18" t="s">
        <v>217</v>
      </c>
      <c r="D7" s="97" t="s">
        <v>135</v>
      </c>
      <c r="E7" s="96" t="s">
        <v>135</v>
      </c>
      <c r="F7" s="2" t="s">
        <v>135</v>
      </c>
      <c r="G7" s="2" t="s">
        <v>63</v>
      </c>
      <c r="H7" s="14">
        <v>0</v>
      </c>
      <c r="I7" s="2"/>
    </row>
    <row r="8" spans="1:9" x14ac:dyDescent="0.3">
      <c r="D8" s="93"/>
      <c r="E8" s="94"/>
    </row>
    <row r="9" spans="1:9" x14ac:dyDescent="0.3">
      <c r="D9" s="93"/>
    </row>
    <row r="10" spans="1:9" x14ac:dyDescent="0.3">
      <c r="D10" s="93"/>
    </row>
    <row r="11" spans="1:9" x14ac:dyDescent="0.3">
      <c r="D11" s="93"/>
    </row>
    <row r="12" spans="1:9" x14ac:dyDescent="0.3">
      <c r="D12" s="93"/>
    </row>
    <row r="13" spans="1:9" x14ac:dyDescent="0.3">
      <c r="D13" s="93"/>
    </row>
    <row r="14" spans="1:9" x14ac:dyDescent="0.3">
      <c r="D14" s="93"/>
    </row>
    <row r="15" spans="1:9" x14ac:dyDescent="0.3">
      <c r="D15" s="93"/>
    </row>
    <row r="16" spans="1:9" x14ac:dyDescent="0.3">
      <c r="D16" s="93"/>
    </row>
    <row r="17" spans="4:9" x14ac:dyDescent="0.3">
      <c r="D17" s="93"/>
    </row>
    <row r="18" spans="4:9" x14ac:dyDescent="0.3">
      <c r="D18" s="93"/>
    </row>
    <row r="19" spans="4:9" x14ac:dyDescent="0.3">
      <c r="D19" s="93"/>
    </row>
    <row r="20" spans="4:9" x14ac:dyDescent="0.3">
      <c r="D20" s="93"/>
      <c r="I20" s="9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Personal-Budget_2026</vt:lpstr>
      <vt:lpstr>Junio-2026</vt:lpstr>
      <vt:lpstr>Resumen</vt:lpstr>
      <vt:lpstr>Libros 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2026-06-17T01:37:26Z</dcterms:modified>
  <cp:category/>
</cp:coreProperties>
</file>