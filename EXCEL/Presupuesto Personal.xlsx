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1" documentId="8_{EE053816-48E3-4E91-A6AD-611A9303676C}" xr6:coauthVersionLast="47" xr6:coauthVersionMax="47" xr10:uidLastSave="{EB2B45EC-DFFD-4117-A825-63EE03B4F0B7}"/>
  <bookViews>
    <workbookView xWindow="0" yWindow="624" windowWidth="11268" windowHeight="9840" xr2:uid="{00000000-000D-0000-FFFF-FFFF00000000}"/>
  </bookViews>
  <sheets>
    <sheet name="Personal-Budget_2026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2" i="2" l="1"/>
  <c r="H82" i="2"/>
  <c r="I82" i="2"/>
  <c r="G52" i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2" i="1"/>
  <c r="D11" i="1"/>
  <c r="D10" i="1"/>
  <c r="D9" i="1"/>
  <c r="D8" i="1"/>
  <c r="D7" i="1"/>
  <c r="D5" i="1"/>
  <c r="D6" i="1"/>
</calcChain>
</file>

<file path=xl/sharedStrings.xml><?xml version="1.0" encoding="utf-8"?>
<sst xmlns="http://schemas.openxmlformats.org/spreadsheetml/2006/main" count="201" uniqueCount="152">
  <si>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</si>
  <si>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</si>
  <si>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</si>
  <si>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</si>
  <si>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</si>
  <si>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</si>
  <si>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</si>
  <si>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</si>
  <si>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</si>
  <si>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</si>
  <si>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</si>
  <si>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</si>
  <si>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</si>
  <si>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</si>
  <si>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</si>
  <si>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</si>
  <si>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</si>
  <si>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</si>
  <si>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</si>
  <si>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</si>
  <si>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</si>
  <si>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</si>
  <si>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</si>
  <si>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</si>
  <si>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</si>
  <si>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</si>
  <si>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</si>
  <si>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</si>
  <si>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</si>
  <si>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</si>
  <si>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</si>
  <si>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</si>
  <si>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</si>
  <si>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</si>
  <si>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</si>
  <si>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</si>
  <si>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</si>
  <si>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</si>
  <si>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</si>
  <si>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</si>
  <si>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</si>
  <si>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</si>
  <si>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</si>
  <si>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</si>
  <si>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</si>
  <si>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</si>
  <si>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</si>
  <si>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</si>
  <si>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</si>
  <si>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</si>
  <si>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</si>
  <si>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</si>
  <si>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</si>
  <si>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</si>
  <si>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</si>
  <si>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</si>
  <si>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</si>
  <si>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</si>
  <si>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</si>
  <si>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</si>
  <si>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</si>
  <si>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</si>
  <si>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</si>
  <si>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</si>
  <si>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</si>
  <si>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</si>
  <si>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</si>
  <si>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</si>
  <si>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</si>
  <si>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</si>
  <si>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</si>
  <si>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</si>
  <si>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</si>
  <si>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</si>
  <si>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</si>
  <si>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</si>
  <si>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</si>
  <si>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</si>
  <si>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</si>
  <si>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</si>
  <si>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</si>
  <si>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</si>
  <si>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</si>
  <si>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</si>
  <si>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</si>
  <si>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</si>
  <si>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</si>
  <si>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</si>
  <si>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</si>
  <si>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</si>
  <si>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</si>
  <si>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</si>
  <si>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</si>
  <si>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</si>
  <si>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</si>
  <si>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</si>
  <si>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</si>
  <si>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</si>
  <si>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</si>
  <si>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</si>
  <si>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</si>
  <si>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</si>
  <si>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</si>
  <si>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</si>
  <si>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</si>
  <si>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</si>
  <si>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</si>
  <si>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</si>
  <si>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</si>
  <si>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</si>
  <si>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</si>
  <si>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</si>
  <si>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</si>
  <si>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</si>
  <si>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</si>
  <si>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</si>
  <si>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</si>
  <si>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</si>
  <si>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</si>
  <si>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</si>
  <si>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</si>
  <si>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</si>
  <si>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</si>
  <si>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</si>
  <si>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</si>
  <si>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</si>
  <si>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</si>
  <si>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</si>
  <si>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</si>
  <si>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</si>
  <si>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Total</t>
  </si>
  <si>
    <t>SUMA</t>
  </si>
  <si>
    <t xml:space="preserve">AVEGARE </t>
  </si>
  <si>
    <t>COUNT</t>
  </si>
  <si>
    <t xml:space="preserve">MIN </t>
  </si>
  <si>
    <t>MAX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</si>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</sst>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7" fontId="0" fillId="0" borderId="1" xfId="0" applyNumberForma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17" fontId="0" fillId="0" borderId="1" xfId="0" applyNumberFormat="1" applyBorder="1">
      <alignment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Sheet1!$D$20:$D$28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Sheet1!$A$34:$A$42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Sheet1!$D$34:$D$42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Sheet1!$A$20:$A$28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O82"/>
  <sheetViews>
    <sheetView tabSelected="1" workbookViewId="0">
      <selection activeCell="E76" sqref="E76:F76"/>
    </sheetView>
  </sheetViews>
  <sheetFormatPr defaultRowHeight="14.4" x14ac:dyDescent="0.3"/>
  <cols>
    <col min="1" max="1" width="11.109375" customWidth="1"/>
    <col min="2" max="2" width="14.5546875" customWidth="1"/>
    <col min="3" max="5" width="11.5546875" customWidth="1"/>
    <col min="6" max="6" width="10.88671875" customWidth="1"/>
    <col min="7" max="7" width="15.33203125" customWidth="1"/>
    <col min="8" max="8" width="9" bestFit="1" customWidth="1"/>
    <col min="10" max="10" width="11.77734375" customWidth="1"/>
    <col min="11" max="11" width="9" bestFit="1" customWidth="1"/>
    <col min="12" max="12" width="10.77734375" bestFit="1" customWidth="1"/>
    <col min="13" max="13" width="12.33203125" customWidth="1"/>
    <col min="15" max="15" width="12.33203125" bestFit="1" customWidth="1"/>
  </cols>
  <sheetData>
    <row r="2" spans="1:15" ht="31.2" x14ac:dyDescent="0.3">
      <c r="A2" s="15" t="s">
        <v>44</v>
      </c>
    </row>
    <row r="4" spans="1:15" ht="23.4" x14ac:dyDescent="0.3">
      <c r="A4" s="16" t="s">
        <v>45</v>
      </c>
    </row>
    <row r="6" spans="1:15" ht="31.2" x14ac:dyDescent="0.3">
      <c r="A6" s="41" t="s">
        <v>46</v>
      </c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</row>
    <row r="8" spans="1:15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 t="s">
        <v>50</v>
      </c>
      <c r="G8" s="34" t="s">
        <v>51</v>
      </c>
      <c r="H8" s="34" t="s">
        <v>52</v>
      </c>
      <c r="I8" s="34" t="s">
        <v>53</v>
      </c>
      <c r="J8" s="34" t="s">
        <v>77</v>
      </c>
      <c r="K8" s="34" t="s">
        <v>54</v>
      </c>
      <c r="L8" s="34" t="s">
        <v>55</v>
      </c>
      <c r="M8" s="34" t="s">
        <v>56</v>
      </c>
      <c r="N8" s="34" t="s">
        <v>57</v>
      </c>
      <c r="O8" s="34" t="s">
        <v>58</v>
      </c>
    </row>
    <row r="9" spans="1:15" x14ac:dyDescent="0.3">
      <c r="A9" s="26">
        <v>1</v>
      </c>
      <c r="B9" s="27" t="s">
        <v>59</v>
      </c>
      <c r="C9" s="27" t="s">
        <v>60</v>
      </c>
      <c r="D9" s="27"/>
      <c r="E9" s="27"/>
      <c r="F9" s="27" t="s">
        <v>61</v>
      </c>
      <c r="G9" s="27" t="s">
        <v>62</v>
      </c>
      <c r="H9" s="28">
        <v>900</v>
      </c>
      <c r="I9" s="28">
        <v>1200</v>
      </c>
      <c r="J9" s="28"/>
      <c r="K9" s="27">
        <v>1</v>
      </c>
      <c r="L9" s="29">
        <v>46244</v>
      </c>
      <c r="M9" s="27" t="s">
        <v>63</v>
      </c>
      <c r="N9" s="27" t="s">
        <v>64</v>
      </c>
      <c r="O9" s="30" t="s">
        <v>65</v>
      </c>
    </row>
    <row r="10" spans="1:15" x14ac:dyDescent="0.3">
      <c r="A10" s="26">
        <v>2</v>
      </c>
      <c r="B10" s="27" t="s">
        <v>66</v>
      </c>
      <c r="C10" s="27" t="s">
        <v>67</v>
      </c>
      <c r="D10" s="27"/>
      <c r="E10" s="27"/>
      <c r="F10" s="27" t="s">
        <v>68</v>
      </c>
      <c r="G10" s="27" t="s">
        <v>69</v>
      </c>
      <c r="H10" s="28">
        <v>150</v>
      </c>
      <c r="I10" s="28">
        <v>250</v>
      </c>
      <c r="J10" s="28"/>
      <c r="K10" s="27">
        <v>1</v>
      </c>
      <c r="L10" s="29">
        <v>46249</v>
      </c>
      <c r="M10" s="27" t="s">
        <v>63</v>
      </c>
      <c r="N10" s="27" t="s">
        <v>70</v>
      </c>
      <c r="O10" s="30" t="s">
        <v>71</v>
      </c>
    </row>
    <row r="11" spans="1:15" x14ac:dyDescent="0.3">
      <c r="A11" s="26">
        <v>3</v>
      </c>
      <c r="B11" s="27" t="s">
        <v>72</v>
      </c>
      <c r="C11" s="27" t="s">
        <v>60</v>
      </c>
      <c r="D11" s="27"/>
      <c r="E11" s="27"/>
      <c r="F11" s="27" t="s">
        <v>61</v>
      </c>
      <c r="G11" s="27" t="s">
        <v>62</v>
      </c>
      <c r="H11" s="28">
        <v>250</v>
      </c>
      <c r="I11" s="28">
        <v>275</v>
      </c>
      <c r="J11" s="28"/>
      <c r="K11" s="27">
        <v>1</v>
      </c>
      <c r="L11" s="31">
        <v>46254</v>
      </c>
      <c r="M11" s="27" t="s">
        <v>63</v>
      </c>
      <c r="N11" s="32" t="s">
        <v>64</v>
      </c>
      <c r="O11" s="33" t="s">
        <v>73</v>
      </c>
    </row>
    <row r="12" spans="1:15" x14ac:dyDescent="0.3">
      <c r="A12" s="26">
        <v>4</v>
      </c>
      <c r="B12" s="27" t="s">
        <v>74</v>
      </c>
      <c r="C12" s="27" t="s">
        <v>75</v>
      </c>
      <c r="D12" s="27"/>
      <c r="E12" s="27"/>
      <c r="F12" s="27" t="s">
        <v>61</v>
      </c>
      <c r="G12" s="27" t="s">
        <v>69</v>
      </c>
      <c r="H12" s="28">
        <v>1500</v>
      </c>
      <c r="I12" s="28">
        <v>1575</v>
      </c>
      <c r="J12" s="28">
        <v>75</v>
      </c>
      <c r="K12" s="27">
        <v>1</v>
      </c>
      <c r="L12" s="31">
        <v>46175</v>
      </c>
      <c r="M12" s="27" t="s">
        <v>76</v>
      </c>
      <c r="N12" s="32" t="s">
        <v>64</v>
      </c>
      <c r="O12" s="32" t="s">
        <v>71</v>
      </c>
    </row>
    <row r="16" spans="1:15" ht="31.2" x14ac:dyDescent="0.3">
      <c r="A16" s="15" t="s">
        <v>78</v>
      </c>
    </row>
    <row r="18" spans="1:11" ht="23.4" x14ac:dyDescent="0.3">
      <c r="A18" s="16" t="s">
        <v>45</v>
      </c>
    </row>
    <row r="20" spans="1:11" ht="31.2" x14ac:dyDescent="0.3">
      <c r="A20" s="42" t="s">
        <v>79</v>
      </c>
      <c r="B20" s="42"/>
      <c r="C20" s="42"/>
      <c r="D20" s="42"/>
      <c r="E20" s="42"/>
      <c r="F20" s="42"/>
      <c r="G20" s="42"/>
      <c r="H20" s="42"/>
      <c r="I20" s="42"/>
      <c r="K20" s="16" t="s">
        <v>90</v>
      </c>
    </row>
    <row r="21" spans="1:11" x14ac:dyDescent="0.3">
      <c r="A21" s="2"/>
      <c r="B21" s="2"/>
      <c r="C21" s="2"/>
      <c r="D21" s="2"/>
      <c r="E21" s="2"/>
      <c r="F21" s="2"/>
      <c r="G21" s="2"/>
      <c r="H21" s="2"/>
      <c r="I21" s="2"/>
    </row>
    <row r="22" spans="1:11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 t="s">
        <v>83</v>
      </c>
      <c r="G22" s="19" t="s">
        <v>84</v>
      </c>
      <c r="H22" s="19" t="s">
        <v>85</v>
      </c>
      <c r="I22" s="19" t="s">
        <v>86</v>
      </c>
      <c r="K22" t="s">
        <v>91</v>
      </c>
    </row>
    <row r="23" spans="1:11" x14ac:dyDescent="0.3">
      <c r="A23" s="24" t="s">
        <v>87</v>
      </c>
      <c r="B23" s="24">
        <v>0</v>
      </c>
      <c r="C23" s="24">
        <v>0</v>
      </c>
      <c r="D23" s="24"/>
      <c r="E23" s="24"/>
      <c r="F23" s="24">
        <v>0</v>
      </c>
      <c r="G23" s="24">
        <v>0</v>
      </c>
      <c r="H23" s="24">
        <v>0</v>
      </c>
      <c r="I23" s="24">
        <v>0</v>
      </c>
      <c r="K23" s="20"/>
    </row>
    <row r="24" spans="1:11" x14ac:dyDescent="0.3">
      <c r="A24" s="24" t="s">
        <v>88</v>
      </c>
      <c r="B24" s="24">
        <v>0</v>
      </c>
      <c r="C24" s="24">
        <v>0</v>
      </c>
      <c r="D24" s="24"/>
      <c r="E24" s="24"/>
      <c r="F24" s="24">
        <v>0</v>
      </c>
      <c r="G24" s="24">
        <v>0</v>
      </c>
      <c r="H24" s="24">
        <v>0</v>
      </c>
      <c r="I24" s="24">
        <v>0</v>
      </c>
      <c r="K24" s="20" t="s">
        <v>92</v>
      </c>
    </row>
    <row r="25" spans="1:11" x14ac:dyDescent="0.3">
      <c r="A25" s="24" t="s">
        <v>89</v>
      </c>
      <c r="B25" s="24">
        <v>0</v>
      </c>
      <c r="C25" s="24">
        <v>0</v>
      </c>
      <c r="D25" s="24"/>
      <c r="E25" s="24"/>
      <c r="F25" s="24">
        <v>0</v>
      </c>
      <c r="G25" s="24">
        <v>0</v>
      </c>
      <c r="H25" s="24">
        <v>0</v>
      </c>
      <c r="I25" s="24">
        <v>0</v>
      </c>
      <c r="K25" s="20" t="s">
        <v>93</v>
      </c>
    </row>
    <row r="26" spans="1:11" x14ac:dyDescent="0.3">
      <c r="K26" s="20" t="s">
        <v>94</v>
      </c>
    </row>
    <row r="27" spans="1:11" x14ac:dyDescent="0.3">
      <c r="K27" s="20" t="s">
        <v>95</v>
      </c>
    </row>
    <row r="28" spans="1:11" x14ac:dyDescent="0.3">
      <c r="K28" s="20" t="s">
        <v>96</v>
      </c>
    </row>
    <row r="29" spans="1:11" x14ac:dyDescent="0.3">
      <c r="K29" s="20" t="s">
        <v>97</v>
      </c>
    </row>
    <row r="30" spans="1:11" x14ac:dyDescent="0.3">
      <c r="K30" s="20" t="s">
        <v>71</v>
      </c>
    </row>
    <row r="33" spans="1:9" ht="31.2" x14ac:dyDescent="0.3">
      <c r="A33" s="43" t="s">
        <v>107</v>
      </c>
      <c r="B33" s="43"/>
      <c r="C33" s="43"/>
      <c r="D33" s="43"/>
      <c r="E33" s="43"/>
      <c r="F33" s="43"/>
      <c r="G33" s="43"/>
      <c r="H33" s="43"/>
      <c r="I33" s="43"/>
    </row>
    <row r="35" spans="1:9" ht="23.4" x14ac:dyDescent="0.3">
      <c r="A35" s="16" t="s">
        <v>45</v>
      </c>
    </row>
    <row r="37" spans="1:9" ht="31.2" x14ac:dyDescent="0.3">
      <c r="A37" s="44" t="s">
        <v>98</v>
      </c>
      <c r="B37" s="44"/>
      <c r="C37" s="44"/>
      <c r="D37" s="44"/>
      <c r="E37" s="44"/>
      <c r="F37" s="44"/>
      <c r="G37" s="44"/>
      <c r="H37" s="44"/>
      <c r="I37" s="44"/>
    </row>
    <row r="39" spans="1:9" x14ac:dyDescent="0.3">
      <c r="A39" s="35" t="s">
        <v>99</v>
      </c>
      <c r="B39" s="35" t="s">
        <v>100</v>
      </c>
      <c r="C39" s="35" t="s">
        <v>101</v>
      </c>
      <c r="D39" s="35" t="s">
        <v>50</v>
      </c>
      <c r="E39" s="35" t="s">
        <v>56</v>
      </c>
      <c r="F39" s="35" t="s">
        <v>102</v>
      </c>
      <c r="G39" s="35" t="s">
        <v>103</v>
      </c>
    </row>
    <row r="40" spans="1:9" ht="28.8" x14ac:dyDescent="0.3">
      <c r="A40" s="18" t="s">
        <v>129</v>
      </c>
      <c r="B40" s="37">
        <v>6500</v>
      </c>
      <c r="C40" s="21">
        <v>46357</v>
      </c>
      <c r="D40" s="18" t="s">
        <v>61</v>
      </c>
      <c r="E40" s="18" t="s">
        <v>104</v>
      </c>
      <c r="F40" s="36">
        <v>100</v>
      </c>
      <c r="G40" s="36">
        <v>50</v>
      </c>
    </row>
    <row r="41" spans="1:9" ht="28.8" x14ac:dyDescent="0.3">
      <c r="A41" s="18" t="s">
        <v>105</v>
      </c>
      <c r="B41" s="37">
        <v>120</v>
      </c>
      <c r="C41" s="21">
        <v>46296</v>
      </c>
      <c r="D41" s="18" t="s">
        <v>61</v>
      </c>
      <c r="E41" s="18" t="s">
        <v>63</v>
      </c>
      <c r="F41" s="18">
        <v>0</v>
      </c>
      <c r="G41" s="18">
        <v>1250</v>
      </c>
    </row>
    <row r="42" spans="1:9" ht="28.8" x14ac:dyDescent="0.3">
      <c r="A42" s="18" t="s">
        <v>106</v>
      </c>
      <c r="B42" s="37">
        <v>20000</v>
      </c>
      <c r="C42" s="21">
        <v>46388</v>
      </c>
      <c r="D42" s="18" t="s">
        <v>68</v>
      </c>
      <c r="E42" s="18" t="s">
        <v>63</v>
      </c>
      <c r="F42" s="2">
        <v>50</v>
      </c>
      <c r="G42" s="18">
        <v>450</v>
      </c>
    </row>
    <row r="47" spans="1:9" ht="31.2" x14ac:dyDescent="0.3">
      <c r="A47" s="15" t="s">
        <v>108</v>
      </c>
    </row>
    <row r="49" spans="1:6" ht="23.4" x14ac:dyDescent="0.3">
      <c r="A49" s="16" t="s">
        <v>45</v>
      </c>
    </row>
    <row r="51" spans="1:6" ht="31.2" x14ac:dyDescent="0.3">
      <c r="A51" s="45" t="s">
        <v>109</v>
      </c>
      <c r="B51" s="45"/>
      <c r="C51" s="45"/>
      <c r="D51" s="45"/>
      <c r="E51" s="45"/>
      <c r="F51" s="45"/>
    </row>
    <row r="53" spans="1:6" ht="28.8" x14ac:dyDescent="0.3">
      <c r="A53" s="22" t="s">
        <v>110</v>
      </c>
      <c r="B53" s="22" t="s">
        <v>111</v>
      </c>
      <c r="C53" s="22" t="s">
        <v>112</v>
      </c>
      <c r="D53" s="22" t="s">
        <v>113</v>
      </c>
    </row>
    <row r="54" spans="1:6" x14ac:dyDescent="0.3">
      <c r="A54" s="25">
        <v>46174</v>
      </c>
      <c r="B54" s="38">
        <v>850</v>
      </c>
      <c r="C54" s="24" t="s">
        <v>66</v>
      </c>
      <c r="D54" s="39">
        <v>300</v>
      </c>
    </row>
    <row r="55" spans="1:6" x14ac:dyDescent="0.3">
      <c r="A55" s="25">
        <v>46387</v>
      </c>
      <c r="B55" s="24">
        <v>0</v>
      </c>
      <c r="C55" s="24" t="s">
        <v>114</v>
      </c>
      <c r="D55" s="38">
        <v>50</v>
      </c>
    </row>
    <row r="60" spans="1:6" ht="31.2" x14ac:dyDescent="0.3">
      <c r="A60" s="15" t="s">
        <v>115</v>
      </c>
    </row>
    <row r="62" spans="1:6" x14ac:dyDescent="0.3">
      <c r="A62" t="s">
        <v>116</v>
      </c>
    </row>
    <row r="64" spans="1:6" ht="23.4" x14ac:dyDescent="0.3">
      <c r="A64" s="16" t="s">
        <v>45</v>
      </c>
    </row>
    <row r="66" spans="1:10" ht="31.2" x14ac:dyDescent="0.3">
      <c r="A66" s="40" t="s">
        <v>117</v>
      </c>
      <c r="B66" s="40"/>
      <c r="C66" s="40"/>
      <c r="D66" s="40"/>
      <c r="E66" s="40"/>
      <c r="F66" s="40"/>
      <c r="G66" s="40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 t="s">
        <v>140</v>
      </c>
      <c r="E68" s="23" t="s">
        <v>120</v>
      </c>
      <c r="F68" s="23" t="s">
        <v>146</v>
      </c>
      <c r="G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139</v>
      </c>
      <c r="D69" s="53" t="s">
        <v>142</v>
      </c>
      <c r="E69" s="53" t="s">
        <v>144</v>
      </c>
      <c r="F69" s="21" t="s">
        <v>147</v>
      </c>
      <c r="G69" s="18" t="s">
        <v>136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53" t="s">
        <v>143</v>
      </c>
      <c r="E70" s="53" t="s">
        <v>145</v>
      </c>
      <c r="F70" s="21">
        <v>46266</v>
      </c>
      <c r="G70" s="18" t="s">
        <v>137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53" t="s">
        <v>143</v>
      </c>
      <c r="E71" s="21">
        <v>47696</v>
      </c>
      <c r="F71" s="21">
        <v>46327</v>
      </c>
      <c r="G71" s="18" t="s">
        <v>138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51">
        <v>46296</v>
      </c>
      <c r="E72" s="17"/>
      <c r="F72" s="51">
        <v>46388</v>
      </c>
      <c r="G72" s="18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51">
        <v>46388</v>
      </c>
      <c r="E73" s="51">
        <v>46447</v>
      </c>
      <c r="F73" s="54">
        <v>46539</v>
      </c>
      <c r="G73" s="52" t="s">
        <v>148</v>
      </c>
    </row>
    <row r="74" spans="1:10" ht="15" customHeight="1" x14ac:dyDescent="0.3">
      <c r="A74" s="55" t="s">
        <v>149</v>
      </c>
      <c r="B74" s="55" t="s">
        <v>150</v>
      </c>
      <c r="C74" s="55" t="s">
        <v>151</v>
      </c>
      <c r="D74" s="56" t="s">
        <v>141</v>
      </c>
      <c r="E74" s="57" t="s">
        <v>141</v>
      </c>
      <c r="F74" s="58">
        <v>46539</v>
      </c>
      <c r="G74" s="57" t="s">
        <v>141</v>
      </c>
    </row>
    <row r="76" spans="1:10" x14ac:dyDescent="0.3">
      <c r="H76" t="s">
        <v>134</v>
      </c>
      <c r="I76" t="s">
        <v>135</v>
      </c>
    </row>
    <row r="77" spans="1:10" x14ac:dyDescent="0.3">
      <c r="H77" t="s">
        <v>131</v>
      </c>
      <c r="I77" t="s">
        <v>132</v>
      </c>
      <c r="J77" t="s">
        <v>133</v>
      </c>
    </row>
    <row r="78" spans="1:10" x14ac:dyDescent="0.3">
      <c r="H78">
        <v>8</v>
      </c>
      <c r="I78">
        <v>2</v>
      </c>
      <c r="J78">
        <v>5</v>
      </c>
    </row>
    <row r="79" spans="1:10" x14ac:dyDescent="0.3">
      <c r="H79">
        <v>5</v>
      </c>
      <c r="I79">
        <v>2</v>
      </c>
      <c r="J79">
        <v>5</v>
      </c>
    </row>
    <row r="80" spans="1:10" x14ac:dyDescent="0.3">
      <c r="H80">
        <v>3</v>
      </c>
      <c r="I80">
        <v>8</v>
      </c>
      <c r="J80">
        <v>5</v>
      </c>
    </row>
    <row r="81" spans="8:11" x14ac:dyDescent="0.3">
      <c r="H81">
        <v>4</v>
      </c>
      <c r="I81">
        <v>2</v>
      </c>
      <c r="J81">
        <v>5</v>
      </c>
    </row>
    <row r="82" spans="8:11" x14ac:dyDescent="0.3">
      <c r="H82">
        <f>MIN(H78:H81)</f>
        <v>3</v>
      </c>
      <c r="I82">
        <f>MAX(I78:I81)</f>
        <v>8</v>
      </c>
      <c r="J82">
        <f>AVERAGE(J78:J81)</f>
        <v>5</v>
      </c>
      <c r="K82" t="s">
        <v>130</v>
      </c>
    </row>
  </sheetData>
  <mergeCells count="6">
    <mergeCell ref="A66:G66"/>
    <mergeCell ref="A6:O6"/>
    <mergeCell ref="A20:I20"/>
    <mergeCell ref="A33:I33"/>
    <mergeCell ref="A37:I37"/>
    <mergeCell ref="A51:F51"/>
  </mergeCells>
  <phoneticPr fontId="1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'Personal-Budget_2026'!F:F</xm:f>
              <xm:sqref>F68</xm:sqref>
            </x14:sparkline>
            <x14:sparkline>
              <xm:f>'Personal-Budget_2026'!E:E</xm:f>
              <xm:sqref>E68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dimension ref="A1:G54"/>
  <sheetViews>
    <sheetView topLeftCell="A79" zoomScale="82" zoomScaleNormal="82" workbookViewId="0">
      <selection activeCell="C58" sqref="C58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46" t="s">
        <v>4</v>
      </c>
      <c r="B1" s="47"/>
      <c r="C1" s="47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48" t="s">
        <v>13</v>
      </c>
      <c r="B17" s="48"/>
      <c r="C17" s="48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48" t="s">
        <v>13</v>
      </c>
      <c r="B31" s="48"/>
      <c r="C31" s="48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49" t="s">
        <v>27</v>
      </c>
      <c r="B46" s="49"/>
      <c r="C46" s="49"/>
      <c r="D46" s="49"/>
      <c r="E46" s="49"/>
      <c r="F46" s="49"/>
      <c r="G46" s="49"/>
    </row>
    <row r="48" spans="1:7" ht="18" x14ac:dyDescent="0.3">
      <c r="A48" s="50" t="s">
        <v>28</v>
      </c>
      <c r="B48" s="50"/>
      <c r="C48" s="50"/>
      <c r="D48" s="50"/>
      <c r="E48" s="50"/>
      <c r="F48" s="50"/>
      <c r="G48" s="50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</sheetData>
  <mergeCells count="5">
    <mergeCell ref="A1:C1"/>
    <mergeCell ref="A17:C17"/>
    <mergeCell ref="A31:C31"/>
    <mergeCell ref="A46:G46"/>
    <mergeCell ref="A48:G4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Personal-Budget_2026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2026-06-05T20:35:10Z</dcterms:modified>
  <cp:category/>
</cp:coreProperties>
</file>