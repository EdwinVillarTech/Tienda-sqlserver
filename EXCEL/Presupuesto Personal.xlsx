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10" documentId="8_{EE053816-48E3-4E91-A6AD-611A9303676C}" xr6:coauthVersionLast="47" xr6:coauthVersionMax="47" xr10:uidLastSave="{80D3040D-699B-464B-8F05-187A883198B0}"/>
  <bookViews>
    <workbookView xWindow="-108" yWindow="-108" windowWidth="23256" windowHeight="12456" firstSheet="1" activeTab="3" xr2:uid="{00000000-000D-0000-FFFF-FFFF00000000}"/>
  </bookViews>
  <sheets>
    <sheet name="Personal-Budget_2026" sheetId="2" r:id="rId1"/>
    <sheet name="Junio-2026" sheetId="1" r:id="rId2"/>
    <sheet name="Resumen" sheetId="3" r:id="rId3"/>
    <sheet name="Libros 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4" l="1"/>
  <c r="I4" i="4" s="1"/>
  <c r="B28" i="3"/>
  <c r="E17" i="3"/>
  <c r="B21" i="3"/>
  <c r="B26" i="3"/>
  <c r="B27" i="3"/>
  <c r="B19" i="3"/>
  <c r="B20" i="3"/>
  <c r="B22" i="3"/>
  <c r="B23" i="3"/>
  <c r="B24" i="3"/>
  <c r="B25" i="3"/>
  <c r="B18" i="3"/>
  <c r="F5" i="4"/>
  <c r="F4" i="4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I5" i="4" l="1"/>
  <c r="D12" i="1"/>
</calcChain>
</file>

<file path=xl/sharedStrings.xml><?xml version="1.0" encoding="utf-8"?>
<sst xmlns="http://schemas.openxmlformats.org/spreadsheetml/2006/main" count="338" uniqueCount="239">
  <si>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</si>
  <si>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</si>
  <si>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</si>
  <si>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</si>
  <si>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</si>
  <si>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</si>
  <si>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</si>
  <si>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</si>
  <si>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</si>
  <si>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</si>
  <si>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</si>
  <si>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</si>
  <si>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</si>
  <si>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</si>
  <si>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</si>
  <si>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</si>
  <si>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</si>
  <si>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</si>
  <si>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</si>
  <si>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</si>
  <si>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</si>
  <si>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</si>
  <si>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</si>
  <si>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</si>
  <si>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</si>
  <si>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</si>
  <si>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</si>
  <si>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</si>
  <si>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</si>
  <si>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</si>
  <si>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</si>
  <si>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</si>
  <si>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</si>
  <si>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</si>
  <si>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</si>
  <si>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</si>
  <si>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</si>
  <si>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</si>
  <si>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</si>
  <si>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</si>
  <si>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</si>
  <si>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</si>
  <si>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</si>
  <si>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</si>
  <si>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</si>
  <si>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</si>
  <si>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</si>
  <si>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</si>
  <si>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</si>
  <si>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</si>
  <si>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</si>
  <si>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</si>
  <si>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</si>
  <si>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</si>
  <si>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</si>
  <si>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</si>
  <si>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</si>
  <si>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</si>
  <si>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</si>
  <si>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</si>
  <si>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</si>
  <si>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</si>
  <si>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</si>
  <si>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</si>
  <si>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</si>
  <si>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</si>
  <si>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</si>
  <si>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</si>
  <si>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</si>
  <si>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</si>
  <si>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</si>
  <si>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</si>
  <si>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</si>
  <si>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</si>
  <si>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</si>
  <si>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</si>
  <si>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</si>
  <si>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</si>
  <si>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</si>
  <si>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</si>
  <si>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</si>
  <si>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</si>
  <si>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</si>
  <si>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</si>
  <si>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</si>
  <si>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</si>
  <si>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</si>
  <si>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</si>
  <si>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</si>
  <si>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</si>
  <si>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</si>
  <si>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</si>
  <si>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</si>
  <si>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</si>
  <si>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</si>
  <si>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</si>
  <si>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</si>
  <si>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</si>
  <si>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</si>
  <si>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</si>
  <si>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</si>
  <si>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</si>
  <si>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</si>
  <si>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</si>
  <si>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</si>
  <si>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</si>
  <si>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</si>
  <si>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</si>
  <si>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</si>
  <si>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</si>
  <si>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</si>
  <si>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</si>
  <si>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</si>
  <si>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</si>
  <si>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</si>
  <si>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</si>
  <si>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</si>
  <si>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</si>
  <si>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</si>
  <si>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</si>
  <si>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</si>
  <si>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</si>
  <si>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</si>
  <si>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</si>
  <si>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</si>
  <si>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</si>
  <si>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</si>
  <si>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</si>
  <si>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</si>
  <si>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</si>
  <si>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</si>
  <si>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</si>
  <si>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</si>
  <si>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</si>
  <si>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</si>
  <si>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</si>
  <si>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</si>
  <si>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</si>
  <si>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</si>
  <si>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</si>
  <si>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</si>
  <si>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</si>
  <si>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</si>
  <si>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</si>
  <si>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</si>
  <si>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</si>
  <si>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</si>
  <si>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</si>
  <si>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</si>
  <si>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</si>
  <si>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</si>
  <si>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</si>
  <si>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</si>
  <si>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</si>
  <si>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</si>
  <si>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</si>
  <si>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</si>
  <si>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</si>
  <si>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</si>
  <si>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</si>
  <si>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</si>
  <si>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</si>
  <si>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</si>
  <si>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</si>
  <si>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</si>
  <si>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</si>
  <si>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</si>
  <si>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</si>
  <si>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</si>
  <si>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</si>
  <si>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</si>
  <si>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</si>
  <si>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</si>
  <si>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</si>
  <si>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</si>
  <si>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</si>
  <si>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</si>
  <si>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</si>
  <si>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</si>
  <si>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</si>
  <si>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</si>
  <si>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</si>
  <si>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</si>
  <si>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</si>
  <si>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</si>
  <si>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</si>
  <si>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</si>
  <si>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</si>
  <si>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</si>
  <si>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</si>
  <si>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</si>
  <si>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</si>
  <si>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</si>
  <si>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</si>
  <si>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</si>
  <si>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</si>
  <si>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</si>
  <si>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</si>
  <si>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</si>
  <si>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</si>
  <si>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</si>
  <si>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</si>
  <si>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</si>
  <si>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</si>
  <si>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</si>
  <si>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</si>
  <si>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</si>
  <si>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</si>
  <si>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</si>
  <si>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</si>
  <si>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</si>
  <si>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</si>
  <si>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</si>
  <si>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</si>
  <si>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</si>
  <si>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</si>
  <si>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</si>
  <si>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</si>
  <si>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 xml:space="preserve">Done </t>
  </si>
  <si>
    <t>Leyendo</t>
  </si>
  <si>
    <t>Utiles de Oficina</t>
  </si>
  <si>
    <t>JUN 18, 2026</t>
  </si>
  <si>
    <t>Suministro</t>
  </si>
  <si>
    <t>JUN 18, 2027</t>
  </si>
  <si>
    <t>Barber-Shop</t>
  </si>
  <si>
    <t>Corte</t>
  </si>
  <si>
    <t xml:space="preserve">Utiles de Oficina </t>
  </si>
  <si>
    <t>Total Dias Leyendo</t>
  </si>
  <si>
    <t>JUN 20, 2026</t>
  </si>
  <si>
    <t>Mini Market</t>
  </si>
  <si>
    <t>JUN 25,2026</t>
  </si>
  <si>
    <t>Farmacia</t>
  </si>
  <si>
    <t>Recarga</t>
  </si>
  <si>
    <t>JUN 29, 2026</t>
  </si>
  <si>
    <t>JUN , 29, 2026</t>
  </si>
  <si>
    <t>Matthias</t>
  </si>
  <si>
    <t>Bebe</t>
  </si>
  <si>
    <t>Dejar de Ser yo de mi pasado, Y crear una nueva identidad</t>
  </si>
  <si>
    <t>Disciplina, Constancia,Persevrancia,Orden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</si>
</sst>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69" formatCode="mm/dd/yyyy;@"/>
    <numFmt numFmtId="170" formatCode="#,##0_ ;\-#,##0\ "/>
  </numFmts>
  <fonts count="2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7"/>
      <name val="Times New Roman"/>
      <family val="1"/>
    </font>
    <font>
      <b/>
      <sz val="11"/>
      <color theme="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69" fontId="0" fillId="0" borderId="0" xfId="0" applyNumberFormat="1">
      <alignment vertical="center"/>
    </xf>
    <xf numFmtId="167" fontId="15" fillId="0" borderId="1" xfId="0" applyNumberFormat="1" applyFont="1" applyBorder="1">
      <alignment vertical="center"/>
    </xf>
    <xf numFmtId="0" fontId="16" fillId="17" borderId="1" xfId="0" applyFont="1" applyFill="1" applyBorder="1">
      <alignment vertical="center"/>
    </xf>
    <xf numFmtId="0" fontId="15" fillId="0" borderId="4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169" fontId="18" fillId="0" borderId="0" xfId="0" applyNumberFormat="1" applyFont="1">
      <alignment vertical="center"/>
    </xf>
    <xf numFmtId="14" fontId="18" fillId="0" borderId="0" xfId="0" applyNumberFormat="1" applyFont="1">
      <alignment vertical="center"/>
    </xf>
    <xf numFmtId="0" fontId="20" fillId="0" borderId="0" xfId="0" applyFont="1">
      <alignment vertical="center"/>
    </xf>
    <xf numFmtId="169" fontId="20" fillId="0" borderId="0" xfId="0" applyNumberFormat="1" applyFont="1">
      <alignment vertical="center"/>
    </xf>
    <xf numFmtId="14" fontId="20" fillId="0" borderId="0" xfId="0" applyNumberFormat="1" applyFont="1">
      <alignment vertical="center"/>
    </xf>
    <xf numFmtId="0" fontId="21" fillId="18" borderId="1" xfId="0" applyFont="1" applyFill="1" applyBorder="1" applyAlignment="1">
      <alignment horizontal="center" vertical="center" wrapText="1"/>
    </xf>
    <xf numFmtId="0" fontId="21" fillId="19" borderId="1" xfId="0" applyFont="1" applyFill="1" applyBorder="1" applyAlignment="1">
      <alignment horizontal="center" vertical="center" wrapText="1"/>
    </xf>
    <xf numFmtId="0" fontId="21" fillId="19" borderId="1" xfId="0" applyFont="1" applyFill="1" applyBorder="1" applyAlignment="1">
      <alignment horizontal="center" vertical="center"/>
    </xf>
    <xf numFmtId="169" fontId="21" fillId="19" borderId="1" xfId="0" applyNumberFormat="1" applyFont="1" applyFill="1" applyBorder="1" applyAlignment="1">
      <alignment horizontal="center" vertical="center" wrapText="1"/>
    </xf>
    <xf numFmtId="14" fontId="21" fillId="19" borderId="1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2" fillId="19" borderId="1" xfId="0" applyFont="1" applyFill="1" applyBorder="1">
      <alignment vertical="center"/>
    </xf>
    <xf numFmtId="0" fontId="18" fillId="0" borderId="1" xfId="0" applyFont="1" applyBorder="1" applyAlignment="1">
      <alignment vertical="center" wrapText="1"/>
    </xf>
    <xf numFmtId="168" fontId="18" fillId="0" borderId="1" xfId="0" applyNumberFormat="1" applyFont="1" applyBorder="1">
      <alignment vertical="center"/>
    </xf>
    <xf numFmtId="0" fontId="18" fillId="0" borderId="1" xfId="0" applyFont="1" applyBorder="1">
      <alignment vertical="center"/>
    </xf>
    <xf numFmtId="166" fontId="18" fillId="0" borderId="1" xfId="2" applyNumberFormat="1" applyFont="1" applyBorder="1" applyAlignment="1">
      <alignment vertical="center"/>
    </xf>
    <xf numFmtId="170" fontId="18" fillId="0" borderId="1" xfId="2" applyNumberFormat="1" applyFont="1" applyBorder="1" applyAlignment="1">
      <alignment vertical="center"/>
    </xf>
    <xf numFmtId="169" fontId="18" fillId="0" borderId="1" xfId="0" applyNumberFormat="1" applyFont="1" applyBorder="1">
      <alignment vertical="center"/>
    </xf>
    <xf numFmtId="1" fontId="18" fillId="0" borderId="1" xfId="2" applyNumberFormat="1" applyFont="1" applyBorder="1" applyAlignment="1">
      <alignment vertical="center"/>
    </xf>
    <xf numFmtId="168" fontId="18" fillId="0" borderId="1" xfId="0" applyNumberFormat="1" applyFont="1" applyBorder="1" applyAlignment="1">
      <alignment horizontal="center" vertical="center"/>
    </xf>
    <xf numFmtId="1" fontId="18" fillId="0" borderId="1" xfId="0" applyNumberFormat="1" applyFont="1" applyBorder="1">
      <alignment vertical="center"/>
    </xf>
    <xf numFmtId="169" fontId="18" fillId="0" borderId="1" xfId="0" applyNumberFormat="1" applyFont="1" applyBorder="1" applyAlignment="1">
      <alignment horizontal="center" vertical="center"/>
    </xf>
    <xf numFmtId="168" fontId="18" fillId="0" borderId="0" xfId="0" applyNumberFormat="1" applyFont="1">
      <alignment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13" zoomScale="69" zoomScaleNormal="69" workbookViewId="0">
      <selection activeCell="I62" sqref="I62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81" t="s">
        <v>46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82" t="s">
        <v>79</v>
      </c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83" t="s">
        <v>107</v>
      </c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</row>
    <row r="35" spans="1:12" ht="23.4" x14ac:dyDescent="0.3">
      <c r="A35" s="16" t="s">
        <v>45</v>
      </c>
    </row>
    <row r="37" spans="1:12" ht="31.2" x14ac:dyDescent="0.3">
      <c r="A37" s="84" t="s">
        <v>98</v>
      </c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85" t="s">
        <v>109</v>
      </c>
      <c r="B51" s="85"/>
      <c r="C51" s="85"/>
      <c r="D51" s="85"/>
      <c r="E51" s="85"/>
      <c r="F51" s="85"/>
      <c r="G51" s="85"/>
      <c r="H51" s="85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80" t="s">
        <v>117</v>
      </c>
      <c r="B66" s="80"/>
      <c r="C66" s="80"/>
      <c r="D66" s="80"/>
      <c r="E66" s="80"/>
      <c r="F66" s="80"/>
      <c r="G66" s="80"/>
      <c r="H66" s="80"/>
      <c r="I66" s="80"/>
      <c r="J66" s="80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79" t="s">
        <v>165</v>
      </c>
      <c r="B77" s="79"/>
      <c r="C77" s="79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76" zoomScale="82" zoomScaleNormal="82" workbookViewId="0">
      <selection activeCell="G51" sqref="G51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88" t="s">
        <v>4</v>
      </c>
      <c r="B1" s="89"/>
      <c r="C1" s="89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90" t="s">
        <v>13</v>
      </c>
      <c r="B17" s="90"/>
      <c r="C17" s="90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90" t="s">
        <v>13</v>
      </c>
      <c r="B31" s="90"/>
      <c r="C31" s="90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91" t="s">
        <v>27</v>
      </c>
      <c r="B46" s="91"/>
      <c r="C46" s="91"/>
      <c r="D46" s="91"/>
      <c r="E46" s="91"/>
      <c r="F46" s="91"/>
      <c r="G46" s="91"/>
    </row>
    <row r="48" spans="1:7" ht="18" x14ac:dyDescent="0.3">
      <c r="A48" s="92" t="s">
        <v>28</v>
      </c>
      <c r="B48" s="92"/>
      <c r="C48" s="92"/>
      <c r="D48" s="92"/>
      <c r="E48" s="92"/>
      <c r="F48" s="92"/>
      <c r="G48" s="92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86" t="s">
        <v>189</v>
      </c>
      <c r="F81" s="87"/>
      <c r="G81" s="87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0" priority="11" operator="greaterThan">
      <formula>1050</formula>
    </cfRule>
    <cfRule type="cellIs" dxfId="9" priority="12" operator="greaterThan">
      <formula>500</formula>
    </cfRule>
    <cfRule type="cellIs" dxfId="8" priority="13" operator="lessThan">
      <formula>500</formula>
    </cfRule>
    <cfRule type="cellIs" dxfId="7" priority="14" operator="lessThan">
      <formula>500</formula>
    </cfRule>
    <cfRule type="cellIs" dxfId="6" priority="15" operator="greaterThan">
      <formula>1050</formula>
    </cfRule>
    <cfRule type="cellIs" dxfId="5" priority="16" operator="greaterThan">
      <formula>500</formula>
    </cfRule>
    <cfRule type="cellIs" dxfId="4" priority="17" operator="greaterThan">
      <formula>1000</formula>
    </cfRule>
    <cfRule type="cellIs" dxfId="3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29"/>
  <sheetViews>
    <sheetView topLeftCell="A4" workbookViewId="0">
      <selection activeCell="E18" sqref="E18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77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78" t="s">
        <v>189</v>
      </c>
      <c r="F5" s="78"/>
      <c r="G5" s="78"/>
    </row>
    <row r="6" spans="1:7" ht="15.6" x14ac:dyDescent="0.3">
      <c r="A6" s="63" t="s">
        <v>234</v>
      </c>
      <c r="B6" s="63" t="s">
        <v>195</v>
      </c>
      <c r="C6" s="63" t="s">
        <v>197</v>
      </c>
      <c r="D6" s="62">
        <v>1641.33</v>
      </c>
      <c r="E6" s="55"/>
      <c r="F6" s="55"/>
      <c r="G6" s="55"/>
    </row>
    <row r="7" spans="1:7" ht="15.6" x14ac:dyDescent="0.3">
      <c r="A7" s="63" t="s">
        <v>198</v>
      </c>
      <c r="B7" s="63" t="s">
        <v>178</v>
      </c>
      <c r="C7" s="63" t="s">
        <v>199</v>
      </c>
      <c r="D7" s="62">
        <v>3800</v>
      </c>
      <c r="E7" s="77" t="s">
        <v>188</v>
      </c>
      <c r="F7" s="55"/>
      <c r="G7" s="55"/>
    </row>
    <row r="8" spans="1:7" ht="15.6" x14ac:dyDescent="0.3">
      <c r="A8" s="63" t="s">
        <v>184</v>
      </c>
      <c r="B8" s="63" t="s">
        <v>185</v>
      </c>
      <c r="C8" s="63" t="s">
        <v>196</v>
      </c>
      <c r="D8" s="62">
        <v>0</v>
      </c>
      <c r="E8" s="55"/>
      <c r="F8" s="55"/>
      <c r="G8" s="55"/>
    </row>
    <row r="9" spans="1:7" ht="15.6" x14ac:dyDescent="0.3">
      <c r="A9" s="63" t="s">
        <v>221</v>
      </c>
      <c r="B9" s="63" t="s">
        <v>220</v>
      </c>
      <c r="C9" s="63" t="s">
        <v>222</v>
      </c>
      <c r="D9" s="75">
        <v>510</v>
      </c>
      <c r="E9" s="55"/>
      <c r="F9" s="55"/>
      <c r="G9" s="55"/>
    </row>
    <row r="10" spans="1:7" ht="15.6" x14ac:dyDescent="0.3">
      <c r="A10" s="63" t="s">
        <v>228</v>
      </c>
      <c r="B10" s="63" t="s">
        <v>229</v>
      </c>
      <c r="C10" s="63" t="s">
        <v>183</v>
      </c>
      <c r="D10" s="75">
        <v>15</v>
      </c>
      <c r="E10" s="55"/>
      <c r="F10" s="55"/>
      <c r="G10" s="55"/>
    </row>
    <row r="11" spans="1:7" ht="15.6" x14ac:dyDescent="0.3">
      <c r="A11" s="63" t="s">
        <v>223</v>
      </c>
      <c r="B11" s="63" t="s">
        <v>224</v>
      </c>
      <c r="C11" s="63" t="s">
        <v>225</v>
      </c>
      <c r="D11" s="75">
        <v>1400</v>
      </c>
      <c r="E11" s="55"/>
      <c r="F11" s="55"/>
      <c r="G11" s="55"/>
    </row>
    <row r="12" spans="1:7" ht="15.6" x14ac:dyDescent="0.3">
      <c r="A12" s="63" t="s">
        <v>230</v>
      </c>
      <c r="B12" s="63" t="s">
        <v>231</v>
      </c>
      <c r="C12" s="63" t="s">
        <v>232</v>
      </c>
      <c r="D12" s="75">
        <v>230</v>
      </c>
      <c r="E12" s="55"/>
      <c r="F12" s="55"/>
      <c r="G12" s="55"/>
    </row>
    <row r="13" spans="1:7" ht="15.6" x14ac:dyDescent="0.3">
      <c r="A13" s="63" t="s">
        <v>233</v>
      </c>
      <c r="B13" s="63" t="s">
        <v>235</v>
      </c>
      <c r="C13" s="63" t="s">
        <v>236</v>
      </c>
      <c r="D13" s="75">
        <v>1000</v>
      </c>
      <c r="E13" s="55">
        <v>650</v>
      </c>
      <c r="F13" s="55"/>
      <c r="G13" s="55"/>
    </row>
    <row r="14" spans="1:7" ht="15.6" x14ac:dyDescent="0.3">
      <c r="A14" s="55"/>
      <c r="B14" s="55"/>
      <c r="C14" s="55"/>
      <c r="D14" s="55"/>
      <c r="E14" s="55">
        <v>59.11</v>
      </c>
      <c r="F14" s="55"/>
      <c r="G14" s="55"/>
    </row>
    <row r="15" spans="1:7" ht="15.6" x14ac:dyDescent="0.3">
      <c r="A15" s="55"/>
      <c r="B15" s="55"/>
      <c r="C15" s="55"/>
      <c r="D15" s="55"/>
      <c r="E15" s="55">
        <v>132.22</v>
      </c>
      <c r="F15" s="55"/>
      <c r="G15" s="55"/>
    </row>
    <row r="16" spans="1:7" ht="15.6" x14ac:dyDescent="0.3">
      <c r="A16" s="56" t="s">
        <v>200</v>
      </c>
      <c r="B16" s="55"/>
      <c r="C16" s="68"/>
      <c r="D16" s="55"/>
      <c r="E16" s="55">
        <v>800</v>
      </c>
      <c r="F16" s="55"/>
      <c r="G16" s="55"/>
    </row>
    <row r="17" spans="1:7" ht="15.6" x14ac:dyDescent="0.3">
      <c r="A17" s="67" t="s">
        <v>153</v>
      </c>
      <c r="B17" s="67" t="s">
        <v>190</v>
      </c>
      <c r="C17" s="55"/>
      <c r="D17" s="55"/>
      <c r="E17">
        <f>SUM(E13:E16)</f>
        <v>1641.33</v>
      </c>
      <c r="F17" s="55"/>
      <c r="G17" s="55"/>
    </row>
    <row r="18" spans="1:7" ht="15.6" x14ac:dyDescent="0.3">
      <c r="A18" s="69" t="s">
        <v>181</v>
      </c>
      <c r="B18" s="70">
        <f>SUMIF($B$4:$B$11,A18,$D$4:$D$11)</f>
        <v>1083</v>
      </c>
      <c r="C18" s="55"/>
      <c r="D18" s="55"/>
      <c r="E18" s="55"/>
      <c r="F18" s="55"/>
      <c r="G18" s="55"/>
    </row>
    <row r="19" spans="1:7" ht="15.6" x14ac:dyDescent="0.3">
      <c r="A19" s="69" t="s">
        <v>192</v>
      </c>
      <c r="B19" s="70">
        <f t="shared" ref="B19:B25" si="0">SUMIF($B$4:$B$11,A19,$D$4:$D$11)</f>
        <v>0</v>
      </c>
      <c r="C19" s="55"/>
      <c r="D19" s="55"/>
      <c r="E19" s="55"/>
      <c r="F19" s="55"/>
      <c r="G19" s="55"/>
    </row>
    <row r="20" spans="1:7" ht="15.6" x14ac:dyDescent="0.3">
      <c r="A20" s="69" t="s">
        <v>178</v>
      </c>
      <c r="B20" s="70">
        <f t="shared" si="0"/>
        <v>4800</v>
      </c>
      <c r="C20" s="55"/>
      <c r="D20" s="55"/>
      <c r="E20" s="55"/>
      <c r="F20" s="55"/>
      <c r="G20" s="55"/>
    </row>
    <row r="21" spans="1:7" ht="15.6" x14ac:dyDescent="0.3">
      <c r="A21" s="69" t="s">
        <v>195</v>
      </c>
      <c r="B21" s="70">
        <f>SUMIF($B$4:$B$13,A21,$D$4:$D$13)</f>
        <v>1641.33</v>
      </c>
      <c r="C21" s="55"/>
      <c r="D21" s="55"/>
      <c r="E21" s="55"/>
      <c r="F21" s="55"/>
      <c r="G21" s="55"/>
    </row>
    <row r="22" spans="1:7" ht="15.6" x14ac:dyDescent="0.3">
      <c r="A22" s="69" t="s">
        <v>226</v>
      </c>
      <c r="B22" s="70">
        <f t="shared" si="0"/>
        <v>0</v>
      </c>
      <c r="C22" s="55"/>
      <c r="D22" s="55"/>
      <c r="E22" s="55"/>
      <c r="F22" s="55"/>
      <c r="G22" s="55"/>
    </row>
    <row r="23" spans="1:7" ht="15.6" x14ac:dyDescent="0.3">
      <c r="A23" s="69" t="s">
        <v>191</v>
      </c>
      <c r="B23" s="70">
        <f t="shared" si="0"/>
        <v>0</v>
      </c>
      <c r="C23" s="55"/>
      <c r="D23" s="55"/>
      <c r="E23" s="55"/>
      <c r="F23" s="55"/>
      <c r="G23" s="55"/>
    </row>
    <row r="24" spans="1:7" ht="15.6" x14ac:dyDescent="0.3">
      <c r="A24" s="69" t="s">
        <v>229</v>
      </c>
      <c r="B24" s="70">
        <f t="shared" si="0"/>
        <v>15</v>
      </c>
      <c r="C24" s="55"/>
      <c r="D24" s="55"/>
      <c r="E24" s="55"/>
      <c r="F24" s="55"/>
      <c r="G24" s="55"/>
    </row>
    <row r="25" spans="1:7" ht="15.6" x14ac:dyDescent="0.3">
      <c r="A25" s="69" t="s">
        <v>224</v>
      </c>
      <c r="B25" s="70">
        <f t="shared" si="0"/>
        <v>1400</v>
      </c>
      <c r="C25" s="55"/>
      <c r="D25" s="55"/>
      <c r="E25" s="55"/>
      <c r="F25" s="55"/>
      <c r="G25" s="55"/>
    </row>
    <row r="26" spans="1:7" ht="15.6" x14ac:dyDescent="0.3">
      <c r="A26" s="69" t="s">
        <v>235</v>
      </c>
      <c r="B26" s="70">
        <f>SUMIF($B$4:$B$13,A26,$D$4:$D$13)</f>
        <v>1000</v>
      </c>
      <c r="C26" s="55"/>
      <c r="D26" s="55"/>
      <c r="E26" s="55"/>
      <c r="F26" s="55"/>
      <c r="G26" s="55"/>
    </row>
    <row r="27" spans="1:7" ht="15.6" x14ac:dyDescent="0.3">
      <c r="A27" s="69" t="s">
        <v>231</v>
      </c>
      <c r="B27" s="70">
        <f>SUMIF($B$4:$B$12,A27,$D$4:$D$12)</f>
        <v>230</v>
      </c>
      <c r="C27" s="55"/>
      <c r="D27" s="55"/>
      <c r="E27" s="55"/>
      <c r="F27" s="55"/>
      <c r="G27" s="55"/>
    </row>
    <row r="28" spans="1:7" ht="15.6" x14ac:dyDescent="0.3">
      <c r="A28" s="76" t="s">
        <v>193</v>
      </c>
      <c r="B28" s="70">
        <f>SUM(B18:B27)</f>
        <v>10169.33</v>
      </c>
      <c r="C28" s="55"/>
      <c r="D28" s="55"/>
      <c r="E28" s="55"/>
      <c r="F28" s="55"/>
      <c r="G28" s="55"/>
    </row>
    <row r="29" spans="1:7" ht="15.6" x14ac:dyDescent="0.3">
      <c r="A29" s="55"/>
      <c r="B29" s="55"/>
      <c r="C29" s="55"/>
      <c r="D29" s="55"/>
      <c r="E29" s="55"/>
      <c r="F29" s="55"/>
      <c r="G29" s="55"/>
    </row>
  </sheetData>
  <mergeCells count="1">
    <mergeCell ref="E5:G5"/>
  </mergeCells>
  <phoneticPr fontId="11" type="noConversion"/>
  <conditionalFormatting sqref="D4:D13">
    <cfRule type="cellIs" dxfId="2" priority="1" operator="lessThan">
      <formula>500</formula>
    </cfRule>
    <cfRule type="cellIs" dxfId="1" priority="2" operator="between">
      <formula>1000</formula>
      <formula>501</formula>
    </cfRule>
    <cfRule type="cellIs" dxfId="0" priority="4" operator="greaterThan">
      <formula>1000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K20"/>
  <sheetViews>
    <sheetView tabSelected="1" zoomScale="90" zoomScaleNormal="90" workbookViewId="0">
      <selection activeCell="J12" sqref="J12"/>
    </sheetView>
  </sheetViews>
  <sheetFormatPr defaultRowHeight="14.4" x14ac:dyDescent="0.3"/>
  <cols>
    <col min="1" max="1" width="2.21875" bestFit="1" customWidth="1"/>
    <col min="2" max="2" width="29.77734375" bestFit="1" customWidth="1"/>
    <col min="3" max="3" width="15" bestFit="1" customWidth="1"/>
    <col min="4" max="4" width="12.44140625" bestFit="1" customWidth="1"/>
    <col min="5" max="5" width="11.21875" style="73" bestFit="1" customWidth="1"/>
    <col min="6" max="6" width="15.21875" bestFit="1" customWidth="1"/>
    <col min="7" max="7" width="9.44140625" bestFit="1" customWidth="1"/>
    <col min="8" max="8" width="15.88671875" bestFit="1" customWidth="1"/>
    <col min="9" max="9" width="18.77734375" bestFit="1" customWidth="1"/>
    <col min="10" max="10" width="17.77734375" bestFit="1" customWidth="1"/>
  </cols>
  <sheetData>
    <row r="1" spans="1:11" ht="17.399999999999999" x14ac:dyDescent="0.3">
      <c r="A1" s="93"/>
      <c r="B1" s="94" t="s">
        <v>201</v>
      </c>
      <c r="C1" s="93"/>
      <c r="D1" s="95"/>
      <c r="E1" s="96"/>
      <c r="F1" s="93"/>
      <c r="G1" s="93"/>
      <c r="H1" s="93"/>
      <c r="I1" s="93"/>
      <c r="J1" s="93"/>
      <c r="K1" s="93"/>
    </row>
    <row r="2" spans="1:11" x14ac:dyDescent="0.3">
      <c r="A2" s="97"/>
      <c r="B2" s="97"/>
      <c r="C2" s="97"/>
      <c r="D2" s="98"/>
      <c r="E2" s="99"/>
      <c r="F2" s="97"/>
      <c r="G2" s="97"/>
      <c r="H2" s="97"/>
      <c r="I2" s="97"/>
      <c r="J2" s="97"/>
      <c r="K2" s="93"/>
    </row>
    <row r="3" spans="1:11" s="71" customFormat="1" ht="27.6" x14ac:dyDescent="0.3">
      <c r="A3" s="100" t="s">
        <v>209</v>
      </c>
      <c r="B3" s="101" t="s">
        <v>202</v>
      </c>
      <c r="C3" s="102" t="s">
        <v>203</v>
      </c>
      <c r="D3" s="103" t="s">
        <v>204</v>
      </c>
      <c r="E3" s="104" t="s">
        <v>205</v>
      </c>
      <c r="F3" s="101" t="s">
        <v>206</v>
      </c>
      <c r="G3" s="101" t="s">
        <v>56</v>
      </c>
      <c r="H3" s="101" t="s">
        <v>208</v>
      </c>
      <c r="I3" s="101" t="s">
        <v>227</v>
      </c>
      <c r="J3" s="101" t="s">
        <v>207</v>
      </c>
      <c r="K3" s="105"/>
    </row>
    <row r="4" spans="1:11" x14ac:dyDescent="0.3">
      <c r="A4" s="106">
        <v>1</v>
      </c>
      <c r="B4" s="107" t="s">
        <v>210</v>
      </c>
      <c r="C4" s="108" t="s">
        <v>214</v>
      </c>
      <c r="D4" s="109">
        <v>46127</v>
      </c>
      <c r="E4" s="109">
        <v>46154</v>
      </c>
      <c r="F4" s="110">
        <f>E4-D4</f>
        <v>27</v>
      </c>
      <c r="G4" s="110" t="s">
        <v>218</v>
      </c>
      <c r="H4" s="111">
        <v>4</v>
      </c>
      <c r="I4" s="112">
        <f ca="1">SUM(F4:F6)</f>
        <v>103</v>
      </c>
      <c r="J4" s="110"/>
      <c r="K4" s="93"/>
    </row>
    <row r="5" spans="1:11" ht="41.4" x14ac:dyDescent="0.3">
      <c r="A5" s="106">
        <v>2</v>
      </c>
      <c r="B5" s="107" t="s">
        <v>211</v>
      </c>
      <c r="C5" s="108" t="s">
        <v>215</v>
      </c>
      <c r="D5" s="113">
        <v>46157</v>
      </c>
      <c r="E5" s="109">
        <v>46203</v>
      </c>
      <c r="F5" s="110">
        <f>E5-D5</f>
        <v>46</v>
      </c>
      <c r="G5" s="110" t="s">
        <v>218</v>
      </c>
      <c r="H5" s="111">
        <v>5</v>
      </c>
      <c r="I5" s="114">
        <f ca="1">AVERAGE(F4:F6)</f>
        <v>34.333333333333336</v>
      </c>
      <c r="J5" s="108" t="s">
        <v>238</v>
      </c>
      <c r="K5" s="93"/>
    </row>
    <row r="6" spans="1:11" ht="41.4" x14ac:dyDescent="0.3">
      <c r="A6" s="106">
        <v>3</v>
      </c>
      <c r="B6" s="107" t="s">
        <v>212</v>
      </c>
      <c r="C6" s="108" t="s">
        <v>216</v>
      </c>
      <c r="D6" s="113">
        <v>46174</v>
      </c>
      <c r="E6" s="115" t="s">
        <v>135</v>
      </c>
      <c r="F6" s="116">
        <f ca="1">TODAY()-D6</f>
        <v>30</v>
      </c>
      <c r="G6" s="110" t="s">
        <v>219</v>
      </c>
      <c r="H6" s="111">
        <v>5</v>
      </c>
      <c r="I6" s="111"/>
      <c r="J6" s="108" t="s">
        <v>237</v>
      </c>
      <c r="K6" s="93"/>
    </row>
    <row r="7" spans="1:11" x14ac:dyDescent="0.3">
      <c r="A7" s="106">
        <v>4</v>
      </c>
      <c r="B7" s="107" t="s">
        <v>213</v>
      </c>
      <c r="C7" s="108" t="s">
        <v>217</v>
      </c>
      <c r="D7" s="117" t="s">
        <v>135</v>
      </c>
      <c r="E7" s="115" t="s">
        <v>135</v>
      </c>
      <c r="F7" s="110" t="s">
        <v>135</v>
      </c>
      <c r="G7" s="110" t="s">
        <v>63</v>
      </c>
      <c r="H7" s="111">
        <v>0</v>
      </c>
      <c r="I7" s="111"/>
      <c r="J7" s="110"/>
      <c r="K7" s="93"/>
    </row>
    <row r="8" spans="1:11" x14ac:dyDescent="0.3">
      <c r="A8" s="93"/>
      <c r="B8" s="93"/>
      <c r="C8" s="93"/>
      <c r="D8" s="95"/>
      <c r="E8" s="118"/>
      <c r="F8" s="93"/>
      <c r="G8" s="93"/>
      <c r="H8" s="93"/>
      <c r="I8" s="93"/>
      <c r="J8" s="93"/>
      <c r="K8" s="93"/>
    </row>
    <row r="9" spans="1:11" x14ac:dyDescent="0.3">
      <c r="A9" s="93"/>
      <c r="B9" s="93"/>
      <c r="C9" s="93"/>
      <c r="D9" s="95"/>
      <c r="E9" s="96"/>
      <c r="F9" s="93"/>
      <c r="G9" s="93"/>
      <c r="H9" s="93"/>
      <c r="I9" s="93"/>
      <c r="J9" s="93"/>
      <c r="K9" s="93"/>
    </row>
    <row r="10" spans="1:11" x14ac:dyDescent="0.3">
      <c r="A10" s="93"/>
      <c r="B10" s="93"/>
      <c r="C10" s="93"/>
      <c r="D10" s="95"/>
      <c r="E10" s="96"/>
      <c r="F10" s="93"/>
      <c r="G10" s="93"/>
      <c r="H10" s="93"/>
      <c r="I10" s="93"/>
      <c r="J10" s="93"/>
      <c r="K10" s="93"/>
    </row>
    <row r="11" spans="1:11" x14ac:dyDescent="0.3">
      <c r="A11" s="93"/>
      <c r="B11" s="93"/>
      <c r="C11" s="93"/>
      <c r="D11" s="95"/>
      <c r="E11" s="96"/>
      <c r="F11" s="93"/>
      <c r="G11" s="93"/>
      <c r="H11" s="93"/>
      <c r="I11" s="93"/>
      <c r="J11" s="93"/>
      <c r="K11" s="93"/>
    </row>
    <row r="12" spans="1:11" x14ac:dyDescent="0.3">
      <c r="D12" s="74"/>
    </row>
    <row r="13" spans="1:11" x14ac:dyDescent="0.3">
      <c r="D13" s="74"/>
    </row>
    <row r="14" spans="1:11" x14ac:dyDescent="0.3">
      <c r="D14" s="74"/>
    </row>
    <row r="15" spans="1:11" x14ac:dyDescent="0.3">
      <c r="D15" s="74"/>
    </row>
    <row r="16" spans="1:11" x14ac:dyDescent="0.3">
      <c r="D16" s="74"/>
    </row>
    <row r="17" spans="4:10" x14ac:dyDescent="0.3">
      <c r="D17" s="74"/>
    </row>
    <row r="18" spans="4:10" x14ac:dyDescent="0.3">
      <c r="D18" s="74"/>
    </row>
    <row r="19" spans="4:10" x14ac:dyDescent="0.3">
      <c r="D19" s="74"/>
    </row>
    <row r="20" spans="4:10" x14ac:dyDescent="0.3">
      <c r="D20" s="74"/>
      <c r="J20" s="7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Personal-Budget_2026</vt:lpstr>
      <vt:lpstr>Junio-2026</vt:lpstr>
      <vt:lpstr>Resumen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2026-07-01T21:14:23Z</dcterms:modified>
  <cp:category/>
</cp:coreProperties>
</file>