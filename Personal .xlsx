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d.docs.live.net/1d86eecf8daf4f0d/Documents/SQL Server Management Studio 22/Tienda-sqlserver/"/>
    </mc:Choice>
  </mc:AlternateContent>
  <xr:revisionPtr revIDLastSave="10" documentId="8_{8E962E59-1E3C-47E7-B657-D33E446696A7}" xr6:coauthVersionLast="47" xr6:coauthVersionMax="47" xr10:uidLastSave="{D3E08C4C-D444-412C-98FD-7AEA4259E141}"/>
  <bookViews>
    <workbookView xWindow="-108" yWindow="-108" windowWidth="23256" windowHeight="12456" firstSheet="20" activeTab="24" xr2:uid="{B4E95347-2E7C-4825-AC90-B7E638AE40C2}"/>
  </bookViews>
  <sheets>
    <sheet name="Presupuesto" sheetId="1" r:id="rId1"/>
    <sheet name="Clientes" sheetId="2" r:id="rId2"/>
    <sheet name="Comparar Valores" sheetId="3" r:id="rId3"/>
    <sheet name="Buscar-lOOKUP" sheetId="4" r:id="rId4"/>
    <sheet name="BuscaRV-VLOOKUP" sheetId="5" r:id="rId5"/>
    <sheet name="BuscarH-Hlookup" sheetId="6" r:id="rId6"/>
    <sheet name="BuscarX-Xlookup" sheetId="7" r:id="rId7"/>
    <sheet name="INTERMEDIO" sheetId="8" r:id="rId8"/>
    <sheet name="Datos" sheetId="10" r:id="rId9"/>
    <sheet name="Referencia a otras hojas" sheetId="9" r:id="rId10"/>
    <sheet name="Formatos y Estilos  de celdas" sheetId="12" r:id="rId11"/>
    <sheet name="Formato Condicional" sheetId="13" r:id="rId12"/>
    <sheet name="Insertar y eliminar" sheetId="14" r:id="rId13"/>
    <sheet name="Ordenanr y Filtrar" sheetId="15" r:id="rId14"/>
    <sheet name="Tablas Dinamica y Subtotales" sheetId="16" r:id="rId15"/>
    <sheet name="Privot" sheetId="18" r:id="rId16"/>
    <sheet name="Tablas Dinamica " sheetId="17" r:id="rId17"/>
    <sheet name="Administrador" sheetId="29" r:id="rId18"/>
    <sheet name="Contador" sheetId="28" r:id="rId19"/>
    <sheet name="Logística" sheetId="27" r:id="rId20"/>
    <sheet name="Secretaria" sheetId="26" r:id="rId21"/>
    <sheet name="Femenino" sheetId="32" r:id="rId22"/>
    <sheet name="Masculino" sheetId="31" r:id="rId23"/>
    <sheet name="Filtro" sheetId="20" r:id="rId24"/>
    <sheet name="Filtros Avanzado" sheetId="19" r:id="rId25"/>
  </sheets>
  <definedNames>
    <definedName name="_xlnm._FilterDatabase" localSheetId="24" hidden="1">'Filtros Avanzado'!$B$3:$G$26</definedName>
    <definedName name="_xlnm._FilterDatabase" localSheetId="13" hidden="1">'Ordenanr y Filtrar'!$B$3:$E$15</definedName>
    <definedName name="_xlnm.Criteria" localSheetId="24">'Filtros Avanzado'!$I$3:$N$4</definedName>
    <definedName name="_xlnm.Extract" localSheetId="24">'Filtros Avanzado'!$I$25:$N$25</definedName>
    <definedName name="Slicer_Producto">#N/A</definedName>
    <definedName name="Slicer_Sucursal">#N/A</definedName>
    <definedName name="Slicer_Vendedor">#N/A</definedName>
  </definedNames>
  <calcPr calcId="191029"/>
  <pivotCaches>
    <pivotCache cacheId="36" r:id="rId26"/>
    <pivotCache cacheId="47" r:id="rId27"/>
  </pivotCaches>
  <extLst>
    <ext xmlns:x14="http://schemas.microsoft.com/office/spreadsheetml/2009/9/main" uri="{BBE1A952-AA13-448e-AADC-164F8A28A991}">
      <x14:slicerCaches>
        <x14:slicerCache r:id="rId28"/>
        <x14:slicerCache r:id="rId29"/>
        <x14:slicerCache r:id="rId3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7" i="7" l="1"/>
  <c r="D36" i="16"/>
  <c r="D29" i="16"/>
  <c r="D22" i="16"/>
  <c r="D15" i="16"/>
  <c r="D8" i="16"/>
  <c r="C12" i="10"/>
  <c r="D12" i="10"/>
  <c r="E12" i="10"/>
  <c r="F12" i="10"/>
  <c r="G12" i="10"/>
  <c r="B12" i="10"/>
  <c r="E9" i="10"/>
  <c r="E5" i="10"/>
  <c r="E6" i="10"/>
  <c r="E7" i="10"/>
  <c r="E8" i="10"/>
  <c r="E4" i="10"/>
  <c r="H7" i="7"/>
  <c r="H8" i="7"/>
  <c r="H9" i="7"/>
  <c r="H10" i="7"/>
  <c r="H11" i="7"/>
  <c r="H12" i="7"/>
  <c r="H13" i="7"/>
  <c r="H14" i="7"/>
  <c r="H6" i="7"/>
  <c r="H5" i="7"/>
  <c r="D10" i="6"/>
  <c r="C10" i="6"/>
  <c r="H6" i="5"/>
  <c r="H7" i="5"/>
  <c r="H8" i="5"/>
  <c r="H9" i="5"/>
  <c r="H10" i="5"/>
  <c r="H11" i="5"/>
  <c r="H12" i="5"/>
  <c r="H13" i="5"/>
  <c r="H14" i="5"/>
  <c r="H15" i="5"/>
  <c r="H5" i="5"/>
  <c r="H14" i="4"/>
  <c r="H6" i="4"/>
  <c r="H7" i="4"/>
  <c r="H8" i="4"/>
  <c r="H9" i="4"/>
  <c r="H10" i="4"/>
  <c r="H11" i="4"/>
  <c r="H12" i="4"/>
  <c r="H13" i="4"/>
  <c r="H5" i="4"/>
  <c r="H4" i="4"/>
  <c r="D6" i="3"/>
  <c r="D7" i="3"/>
  <c r="D4" i="3"/>
  <c r="D5" i="3"/>
  <c r="C7" i="3"/>
  <c r="C6" i="3"/>
  <c r="C5" i="3"/>
  <c r="C4" i="3"/>
  <c r="C15" i="2"/>
  <c r="C12" i="2"/>
  <c r="C21" i="1"/>
  <c r="C19" i="1"/>
  <c r="C18" i="1"/>
  <c r="B18" i="1"/>
  <c r="D37" i="16" l="1"/>
</calcChain>
</file>

<file path=xl/sharedStrings.xml><?xml version="1.0" encoding="utf-8"?>
<sst xmlns="http://schemas.openxmlformats.org/spreadsheetml/2006/main" count="812" uniqueCount="238">
  <si>
    <t xml:space="preserve"> Presupuesto Mensual</t>
  </si>
  <si>
    <t>Rubros</t>
  </si>
  <si>
    <t>Ingresos</t>
  </si>
  <si>
    <t>Gastos</t>
  </si>
  <si>
    <t>Salario</t>
  </si>
  <si>
    <t>Variables</t>
  </si>
  <si>
    <t>Eventuales</t>
  </si>
  <si>
    <t>Servicio público agua</t>
  </si>
  <si>
    <t>Servicio público luz</t>
  </si>
  <si>
    <t>Servicio público gas</t>
  </si>
  <si>
    <t>Mantenimiento casa</t>
  </si>
  <si>
    <t>Diversión</t>
  </si>
  <si>
    <t>Educación</t>
  </si>
  <si>
    <t>Combustible</t>
  </si>
  <si>
    <t>Créditos</t>
  </si>
  <si>
    <t>Ropa y accesorios</t>
  </si>
  <si>
    <t>Mascota</t>
  </si>
  <si>
    <t>Varios</t>
  </si>
  <si>
    <t>Total</t>
  </si>
  <si>
    <t xml:space="preserve">Margen </t>
  </si>
  <si>
    <t>% de holgura</t>
  </si>
  <si>
    <t>Margen Neto</t>
  </si>
  <si>
    <t xml:space="preserve">Funciones Condicionales  </t>
  </si>
  <si>
    <t>Cliente</t>
  </si>
  <si>
    <t>Tipo Clte</t>
  </si>
  <si>
    <t>Antigüedad (años)</t>
  </si>
  <si>
    <t>Horas trabajadas</t>
  </si>
  <si>
    <t>Valor Hora</t>
  </si>
  <si>
    <t>Descuento</t>
  </si>
  <si>
    <t>Honor Totales</t>
  </si>
  <si>
    <t>Coca Cola</t>
  </si>
  <si>
    <t>$1,500</t>
  </si>
  <si>
    <t>$0</t>
  </si>
  <si>
    <t>Mc Donald's</t>
  </si>
  <si>
    <t>Pritty</t>
  </si>
  <si>
    <t>$9,750</t>
  </si>
  <si>
    <t>Volkswagen</t>
  </si>
  <si>
    <t>Autos</t>
  </si>
  <si>
    <t>$3,450</t>
  </si>
  <si>
    <t>Mostaza</t>
  </si>
  <si>
    <t>$1,800</t>
  </si>
  <si>
    <t>Grido</t>
  </si>
  <si>
    <t>$2,000</t>
  </si>
  <si>
    <t xml:space="preserve">Count if </t>
  </si>
  <si>
    <t xml:space="preserve">SUMIF </t>
  </si>
  <si>
    <t>Gastronomia</t>
  </si>
  <si>
    <t xml:space="preserve">Alimentos </t>
  </si>
  <si>
    <t xml:space="preserve">Lista A </t>
  </si>
  <si>
    <t xml:space="preserve">Lista B </t>
  </si>
  <si>
    <t>Operadores</t>
  </si>
  <si>
    <t xml:space="preserve">Funcion SI </t>
  </si>
  <si>
    <t>Código</t>
  </si>
  <si>
    <t>Nombre</t>
  </si>
  <si>
    <t>Edad</t>
  </si>
  <si>
    <t>Cod001</t>
  </si>
  <si>
    <t>Juan Perez</t>
  </si>
  <si>
    <t>$800.00</t>
  </si>
  <si>
    <t>Cod002</t>
  </si>
  <si>
    <t>Andres Sanchez</t>
  </si>
  <si>
    <t>$1,500.00</t>
  </si>
  <si>
    <t>Cod003</t>
  </si>
  <si>
    <t>Mario Gonzalez</t>
  </si>
  <si>
    <t>$1,200.00</t>
  </si>
  <si>
    <t>Cod004</t>
  </si>
  <si>
    <t>María Dominguez</t>
  </si>
  <si>
    <t>Cod005</t>
  </si>
  <si>
    <t>Juana Velez</t>
  </si>
  <si>
    <t>$760.00</t>
  </si>
  <si>
    <t>Cod006</t>
  </si>
  <si>
    <t>Pedro Urdiales</t>
  </si>
  <si>
    <t>$1,650.00</t>
  </si>
  <si>
    <t>Cod007</t>
  </si>
  <si>
    <t>Samanta Loja</t>
  </si>
  <si>
    <t>$1,400.00</t>
  </si>
  <si>
    <t>Cod008</t>
  </si>
  <si>
    <t>Melina Lima</t>
  </si>
  <si>
    <t>$1,350.00</t>
  </si>
  <si>
    <t>Cod009</t>
  </si>
  <si>
    <t>Melisa Ruales</t>
  </si>
  <si>
    <t>$1,150.00</t>
  </si>
  <si>
    <t>Cod010</t>
  </si>
  <si>
    <t>Esteban Arredondo</t>
  </si>
  <si>
    <t>$1,100.00</t>
  </si>
  <si>
    <t>Buscar</t>
  </si>
  <si>
    <t>Resultado</t>
  </si>
  <si>
    <t>Cod011</t>
  </si>
  <si>
    <t xml:space="preserve"> </t>
  </si>
  <si>
    <t>Planilla mes de eptiembre de 2021</t>
  </si>
  <si>
    <t>Producto</t>
  </si>
  <si>
    <t>Cantidad</t>
  </si>
  <si>
    <t>Valor Uni.</t>
  </si>
  <si>
    <t>Subtotal</t>
  </si>
  <si>
    <t>Valor del Descto.</t>
  </si>
  <si>
    <t>Producto A</t>
  </si>
  <si>
    <t>Producto B</t>
  </si>
  <si>
    <t>Producto C</t>
  </si>
  <si>
    <t>Producto D</t>
  </si>
  <si>
    <t>Producto E</t>
  </si>
  <si>
    <t>Producto F</t>
  </si>
  <si>
    <t>Valor</t>
  </si>
  <si>
    <t>Valor IVA:</t>
  </si>
  <si>
    <t xml:space="preserve">Descuentos autorizados por mes </t>
  </si>
  <si>
    <t>Mes</t>
  </si>
  <si>
    <t>Agosto</t>
  </si>
  <si>
    <t>Septiembre</t>
  </si>
  <si>
    <t>Octubre</t>
  </si>
  <si>
    <t>Noviembre</t>
  </si>
  <si>
    <t>Diciembre</t>
  </si>
  <si>
    <t>% Descuento</t>
  </si>
  <si>
    <t>Tabla de IVA</t>
  </si>
  <si>
    <t>Otros Productos</t>
  </si>
  <si>
    <t>Importado Especiales</t>
  </si>
  <si>
    <t xml:space="preserve">Productos tipo A hasta tipo F </t>
  </si>
  <si>
    <t>ID</t>
  </si>
  <si>
    <t>Producto 10</t>
  </si>
  <si>
    <t>Producto 12</t>
  </si>
  <si>
    <t>Producto 8</t>
  </si>
  <si>
    <t>Producto 4</t>
  </si>
  <si>
    <t>Producto 9</t>
  </si>
  <si>
    <t>Producto 6</t>
  </si>
  <si>
    <t>Producto 7</t>
  </si>
  <si>
    <t>Producto 3</t>
  </si>
  <si>
    <t>Producto 5</t>
  </si>
  <si>
    <t>Producto 1</t>
  </si>
  <si>
    <t>Producto 11</t>
  </si>
  <si>
    <t>Producto 2</t>
  </si>
  <si>
    <t>Sucursal</t>
  </si>
  <si>
    <t>Vendedor</t>
  </si>
  <si>
    <t>Ventas</t>
  </si>
  <si>
    <t>Suc-3</t>
  </si>
  <si>
    <t>Asociado-12</t>
  </si>
  <si>
    <t>ID-10</t>
  </si>
  <si>
    <t>Suc-1</t>
  </si>
  <si>
    <t>Asociado-1</t>
  </si>
  <si>
    <t>Suc-5</t>
  </si>
  <si>
    <t>Asociado-27</t>
  </si>
  <si>
    <t>ID-08</t>
  </si>
  <si>
    <t>Suc-2</t>
  </si>
  <si>
    <t>Asociado-7</t>
  </si>
  <si>
    <t>ID-18</t>
  </si>
  <si>
    <t>Suc-4</t>
  </si>
  <si>
    <t>Asociado-21</t>
  </si>
  <si>
    <t>ID-03</t>
  </si>
  <si>
    <t>Asociado-10</t>
  </si>
  <si>
    <t>ID-17</t>
  </si>
  <si>
    <t>Asociado-31</t>
  </si>
  <si>
    <t>ID-40</t>
  </si>
  <si>
    <t>Asociado-4</t>
  </si>
  <si>
    <t>ID-15</t>
  </si>
  <si>
    <t>Asociado-18</t>
  </si>
  <si>
    <t>ID-25</t>
  </si>
  <si>
    <t>Asociado-11</t>
  </si>
  <si>
    <t>ID-12</t>
  </si>
  <si>
    <t>Asociado-13</t>
  </si>
  <si>
    <t>ID-32</t>
  </si>
  <si>
    <t>Asociado-22</t>
  </si>
  <si>
    <t>ID-09</t>
  </si>
  <si>
    <t>Asociado-8</t>
  </si>
  <si>
    <t>ID-19</t>
  </si>
  <si>
    <t>Asociado-2</t>
  </si>
  <si>
    <t>ID-44</t>
  </si>
  <si>
    <t>Asociado-16</t>
  </si>
  <si>
    <t>ID-28</t>
  </si>
  <si>
    <t>Asociado-17</t>
  </si>
  <si>
    <t>ID-48</t>
  </si>
  <si>
    <t>Asociado-29</t>
  </si>
  <si>
    <t>ID-35</t>
  </si>
  <si>
    <t>Asociado-6</t>
  </si>
  <si>
    <t>ID-24</t>
  </si>
  <si>
    <t>Asociado-14</t>
  </si>
  <si>
    <t>ID-02</t>
  </si>
  <si>
    <t>Asociado-9</t>
  </si>
  <si>
    <t>ID-31</t>
  </si>
  <si>
    <t>Asociado-19</t>
  </si>
  <si>
    <t>ID-41</t>
  </si>
  <si>
    <t>Asociado-3</t>
  </si>
  <si>
    <t>ID-22</t>
  </si>
  <si>
    <t>Asociado-15</t>
  </si>
  <si>
    <t>ID-05</t>
  </si>
  <si>
    <t>Asociado-24</t>
  </si>
  <si>
    <t>Asociado-30</t>
  </si>
  <si>
    <t>ID-39</t>
  </si>
  <si>
    <t>Asociado-5</t>
  </si>
  <si>
    <t>ID-20</t>
  </si>
  <si>
    <t>Asociado-26</t>
  </si>
  <si>
    <t>ID-14</t>
  </si>
  <si>
    <t>Asociado-20</t>
  </si>
  <si>
    <t>ID-33</t>
  </si>
  <si>
    <t>Asociado-28</t>
  </si>
  <si>
    <t>ID-07</t>
  </si>
  <si>
    <t>Asociado-23</t>
  </si>
  <si>
    <t>ID-45</t>
  </si>
  <si>
    <t>Suc-1 Total</t>
  </si>
  <si>
    <t>Suc-2 Total</t>
  </si>
  <si>
    <t>Suc-3 Total</t>
  </si>
  <si>
    <t>Suc-4 Total</t>
  </si>
  <si>
    <t>Suc-5 Total</t>
  </si>
  <si>
    <t>Grand Total</t>
  </si>
  <si>
    <t>Row Labels</t>
  </si>
  <si>
    <t>Sum of Ventas</t>
  </si>
  <si>
    <t>DNI</t>
  </si>
  <si>
    <t>Nombre y Apellido</t>
  </si>
  <si>
    <t>Sexo</t>
  </si>
  <si>
    <t>Cargo</t>
  </si>
  <si>
    <t>Sueldo</t>
  </si>
  <si>
    <t>Miguel Vela</t>
  </si>
  <si>
    <t>Masculino</t>
  </si>
  <si>
    <t>Administrador</t>
  </si>
  <si>
    <t>Julio Martín</t>
  </si>
  <si>
    <t>Miguel Sánchez</t>
  </si>
  <si>
    <t>Logística</t>
  </si>
  <si>
    <t>María Salcedo</t>
  </si>
  <si>
    <t>Femenino</t>
  </si>
  <si>
    <t>Lizeth Lozano</t>
  </si>
  <si>
    <t>Mario Casas</t>
  </si>
  <si>
    <t>José López</t>
  </si>
  <si>
    <t>Contador</t>
  </si>
  <si>
    <t>Marcia Cárdenas</t>
  </si>
  <si>
    <t>Jean Carlos Larrea</t>
  </si>
  <si>
    <t>Marleni Farisque</t>
  </si>
  <si>
    <t>Secretaria</t>
  </si>
  <si>
    <t>Sandra Cubas</t>
  </si>
  <si>
    <t>Pedro Ramírez</t>
  </si>
  <si>
    <t>Ana Pérez</t>
  </si>
  <si>
    <t>Carlos Méndez</t>
  </si>
  <si>
    <t>Rosa Jiménez</t>
  </si>
  <si>
    <t>Luis Gómez</t>
  </si>
  <si>
    <t>Diana Castillo</t>
  </si>
  <si>
    <t>Andrés Torres</t>
  </si>
  <si>
    <t>Patricia Medina</t>
  </si>
  <si>
    <t>Kevin Díaz</t>
  </si>
  <si>
    <t>Sofía Herrera</t>
  </si>
  <si>
    <t>Cristian Núñez</t>
  </si>
  <si>
    <t>Laura Ortiz</t>
  </si>
  <si>
    <t>&gt;26</t>
  </si>
  <si>
    <t>Sum of Sueldo</t>
  </si>
  <si>
    <t>(All)</t>
  </si>
  <si>
    <t>Justino Baca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</si>
</sst>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2C0A]\ * #,##0.00_-;\-[$$-2C0A]\ * #,##0.00_-;_-[$$-2C0A]\ * &quot;-&quot;??_-;_-@_-"/>
    <numFmt numFmtId="165" formatCode="_-[$$-2C0A]\ * #,##0.0_-;\-[$$-2C0A]\ * #,##0.0_-;_-[$$-2C0A]\ * &quot;-&quot;??_-;_-@_-"/>
    <numFmt numFmtId="166" formatCode="0.000"/>
    <numFmt numFmtId="167" formatCode="0.0%"/>
    <numFmt numFmtId="168" formatCode="0.0000"/>
    <numFmt numFmtId="169" formatCode="[$$-2C0A]\ #,##0.00;\-[$$-2C0A]\ #,##0.00"/>
  </numFmts>
  <fonts count="15" x14ac:knownFonts="1">
    <font>
      <sz val="11"/>
      <color theme="1"/>
      <name val="Calibri"/>
      <family val="2"/>
      <scheme val="minor"/>
    </font>
    <font>
      <sz val="11"/>
      <color theme="1"/>
      <name val="Calibri"/>
      <family val="2"/>
      <scheme val="minor"/>
    </font>
    <font>
      <b/>
      <sz val="12"/>
      <color theme="1"/>
      <name val="Times New Roman"/>
      <family val="1"/>
    </font>
    <font>
      <sz val="11"/>
      <color theme="1"/>
      <name val="Times New Roman"/>
      <family val="1"/>
    </font>
    <font>
      <b/>
      <sz val="11"/>
      <color theme="0"/>
      <name val="Times New Roman"/>
      <family val="1"/>
    </font>
    <font>
      <b/>
      <sz val="11"/>
      <color theme="1"/>
      <name val="Times New Roman"/>
      <family val="1"/>
    </font>
    <font>
      <sz val="8"/>
      <name val="Calibri"/>
      <family val="2"/>
      <scheme val="minor"/>
    </font>
    <font>
      <b/>
      <sz val="11"/>
      <color theme="1"/>
      <name val="Calibri"/>
      <family val="2"/>
      <scheme val="minor"/>
    </font>
    <font>
      <sz val="11"/>
      <color theme="0"/>
      <name val="Calibri"/>
      <family val="2"/>
      <scheme val="minor"/>
    </font>
    <font>
      <b/>
      <sz val="14"/>
      <color theme="0"/>
      <name val="Times New Roman"/>
      <family val="1"/>
    </font>
    <font>
      <sz val="14"/>
      <color theme="0"/>
      <name val="Times New Roman"/>
      <family val="1"/>
    </font>
    <font>
      <b/>
      <sz val="11"/>
      <color rgb="FF002060"/>
      <name val="Times New Roman"/>
      <family val="1"/>
    </font>
    <font>
      <sz val="11"/>
      <color rgb="FF006100"/>
      <name val="Calibri"/>
      <family val="2"/>
      <scheme val="minor"/>
    </font>
    <font>
      <sz val="11"/>
      <color rgb="FFFF0000"/>
      <name val="Times New Roman"/>
      <family val="1"/>
    </font>
    <font>
      <b/>
      <sz val="11"/>
      <color rgb="FF002060"/>
      <name val="Calibri"/>
      <family val="2"/>
      <scheme val="minor"/>
    </font>
  </fonts>
  <fills count="22">
    <fill>
      <patternFill patternType="none"/>
    </fill>
    <fill>
      <patternFill patternType="gray125"/>
    </fill>
    <fill>
      <patternFill patternType="solid">
        <fgColor theme="4" tint="0.79998168889431442"/>
        <bgColor indexed="65"/>
      </patternFill>
    </fill>
    <fill>
      <patternFill patternType="solid">
        <fgColor theme="4" tint="0.39997558519241921"/>
        <bgColor indexed="65"/>
      </patternFill>
    </fill>
    <fill>
      <patternFill patternType="solid">
        <fgColor theme="9" tint="0.79998168889431442"/>
        <bgColor indexed="65"/>
      </patternFill>
    </fill>
    <fill>
      <patternFill patternType="solid">
        <fgColor theme="9" tint="0.39997558519241921"/>
        <bgColor indexed="65"/>
      </patternFill>
    </fill>
    <fill>
      <patternFill patternType="solid">
        <fgColor theme="3"/>
        <bgColor indexed="64"/>
      </patternFill>
    </fill>
    <fill>
      <patternFill patternType="solid">
        <fgColor theme="4"/>
        <bgColor indexed="64"/>
      </patternFill>
    </fill>
    <fill>
      <patternFill patternType="solid">
        <fgColor theme="9"/>
        <bgColor indexed="64"/>
      </patternFill>
    </fill>
    <fill>
      <patternFill patternType="solid">
        <fgColor theme="6" tint="0.79998168889431442"/>
        <bgColor indexed="65"/>
      </patternFill>
    </fill>
    <fill>
      <patternFill patternType="solid">
        <fgColor theme="6" tint="0.39997558519241921"/>
        <bgColor indexed="65"/>
      </patternFill>
    </fill>
    <fill>
      <patternFill patternType="solid">
        <fgColor theme="6"/>
        <bgColor indexed="64"/>
      </patternFill>
    </fill>
    <fill>
      <patternFill patternType="solid">
        <fgColor theme="7"/>
        <bgColor indexed="64"/>
      </patternFill>
    </fill>
    <fill>
      <patternFill patternType="solid">
        <fgColor theme="5"/>
      </patternFill>
    </fill>
    <fill>
      <patternFill patternType="solid">
        <fgColor theme="5"/>
        <bgColor indexed="64"/>
      </patternFill>
    </fill>
    <fill>
      <patternFill patternType="solid">
        <fgColor theme="8" tint="0.39997558519241921"/>
        <bgColor indexed="64"/>
      </patternFill>
    </fill>
    <fill>
      <patternFill patternType="solid">
        <fgColor rgb="FFC6EFCE"/>
      </patternFill>
    </fill>
    <fill>
      <patternFill patternType="solid">
        <fgColor theme="7" tint="0.39997558519241921"/>
        <bgColor indexed="65"/>
      </patternFill>
    </fill>
    <fill>
      <patternFill patternType="solid">
        <fgColor theme="4" tint="0.79998168889431442"/>
        <bgColor indexed="64"/>
      </patternFill>
    </fill>
    <fill>
      <patternFill patternType="solid">
        <fgColor rgb="FFFF0000"/>
        <bgColor indexed="64"/>
      </patternFill>
    </fill>
    <fill>
      <patternFill patternType="solid">
        <fgColor theme="0" tint="-0.249977111117893"/>
        <bgColor indexed="64"/>
      </patternFill>
    </fill>
    <fill>
      <patternFill patternType="solid">
        <fgColor rgb="FF00206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theme="4"/>
      </top>
      <bottom style="double">
        <color theme="4"/>
      </bottom>
      <diagonal/>
    </border>
    <border>
      <left style="mediumDashDot">
        <color indexed="64"/>
      </left>
      <right style="mediumDashDot">
        <color indexed="64"/>
      </right>
      <top style="mediumDashDot">
        <color indexed="64"/>
      </top>
      <bottom style="thin">
        <color indexed="64"/>
      </bottom>
      <diagonal/>
    </border>
    <border>
      <left style="mediumDashDot">
        <color indexed="64"/>
      </left>
      <right style="mediumDashDot">
        <color indexed="64"/>
      </right>
      <top style="thin">
        <color indexed="64"/>
      </top>
      <bottom style="thin">
        <color indexed="64"/>
      </bottom>
      <diagonal/>
    </border>
    <border>
      <left style="mediumDashDot">
        <color indexed="64"/>
      </left>
      <right style="mediumDashDot">
        <color indexed="64"/>
      </right>
      <top style="thin">
        <color indexed="64"/>
      </top>
      <bottom style="mediumDashDot">
        <color indexed="64"/>
      </bottom>
      <diagonal/>
    </border>
    <border>
      <left style="mediumDashDot">
        <color indexed="64"/>
      </left>
      <right style="mediumDashDot">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s>
  <cellStyleXfs count="11">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7" fillId="0" borderId="2" applyNumberFormat="0" applyFill="0" applyAlignment="0" applyProtection="0"/>
    <xf numFmtId="0" fontId="8" fillId="13" borderId="0" applyNumberFormat="0" applyBorder="0" applyAlignment="0" applyProtection="0"/>
    <xf numFmtId="0" fontId="12" fillId="16" borderId="0" applyNumberFormat="0" applyBorder="0" applyAlignment="0" applyProtection="0"/>
    <xf numFmtId="0" fontId="1" fillId="17" borderId="0" applyNumberFormat="0" applyBorder="0" applyAlignment="0" applyProtection="0"/>
  </cellStyleXfs>
  <cellXfs count="105">
    <xf numFmtId="0" fontId="0" fillId="0" borderId="0" xfId="0"/>
    <xf numFmtId="0" fontId="3" fillId="0" borderId="0" xfId="0" applyFont="1"/>
    <xf numFmtId="0" fontId="4" fillId="6" borderId="1" xfId="0" applyFont="1" applyFill="1" applyBorder="1" applyAlignment="1">
      <alignment horizontal="center" vertical="center"/>
    </xf>
    <xf numFmtId="0" fontId="3" fillId="0" borderId="1" xfId="0" applyFont="1" applyBorder="1" applyAlignment="1">
      <alignment vertical="center"/>
    </xf>
    <xf numFmtId="0" fontId="3" fillId="0" borderId="1" xfId="0" applyFont="1" applyBorder="1" applyAlignment="1">
      <alignment horizontal="center" vertical="center"/>
    </xf>
    <xf numFmtId="0" fontId="3" fillId="0" borderId="0" xfId="0" applyFont="1" applyAlignment="1">
      <alignment vertical="center" wrapText="1"/>
    </xf>
    <xf numFmtId="0" fontId="4" fillId="6" borderId="0" xfId="0" applyFont="1" applyFill="1"/>
    <xf numFmtId="0" fontId="4" fillId="6" borderId="0" xfId="0" applyFont="1" applyFill="1" applyAlignment="1">
      <alignment vertical="center" wrapText="1"/>
    </xf>
    <xf numFmtId="164" fontId="3" fillId="0" borderId="1" xfId="0" applyNumberFormat="1" applyFont="1" applyBorder="1" applyAlignment="1">
      <alignment horizontal="right" vertical="center"/>
    </xf>
    <xf numFmtId="0" fontId="3" fillId="0" borderId="0" xfId="0" applyFont="1" applyAlignment="1">
      <alignment horizontal="right" vertical="center"/>
    </xf>
    <xf numFmtId="0" fontId="3" fillId="0" borderId="1" xfId="0" applyFont="1" applyBorder="1" applyAlignment="1">
      <alignment horizontal="left" vertical="center"/>
    </xf>
    <xf numFmtId="49" fontId="3" fillId="0" borderId="1" xfId="0" applyNumberFormat="1" applyFont="1" applyBorder="1" applyAlignment="1">
      <alignment horizontal="left" vertical="center"/>
    </xf>
    <xf numFmtId="164" fontId="3" fillId="0" borderId="0" xfId="0" applyNumberFormat="1" applyFont="1"/>
    <xf numFmtId="0" fontId="5" fillId="0" borderId="0" xfId="0" applyFont="1" applyAlignment="1">
      <alignment vertical="center" wrapText="1"/>
    </xf>
    <xf numFmtId="9" fontId="3" fillId="0" borderId="0" xfId="0" applyNumberFormat="1" applyFont="1"/>
    <xf numFmtId="0" fontId="4" fillId="8" borderId="1" xfId="0" applyFont="1" applyFill="1" applyBorder="1"/>
    <xf numFmtId="0" fontId="3" fillId="0" borderId="1" xfId="0" applyFont="1" applyBorder="1"/>
    <xf numFmtId="0" fontId="3" fillId="2" borderId="1" xfId="1" applyFont="1" applyBorder="1"/>
    <xf numFmtId="0" fontId="3" fillId="4" borderId="1" xfId="3" applyFont="1" applyBorder="1"/>
    <xf numFmtId="0" fontId="3" fillId="3" borderId="1" xfId="2" applyFont="1" applyBorder="1"/>
    <xf numFmtId="0" fontId="3" fillId="5" borderId="1" xfId="4" applyFont="1" applyBorder="1"/>
    <xf numFmtId="0" fontId="4" fillId="11" borderId="0" xfId="0" applyFont="1" applyFill="1"/>
    <xf numFmtId="0" fontId="4" fillId="11" borderId="1" xfId="0" applyFont="1" applyFill="1" applyBorder="1" applyAlignment="1">
      <alignment horizontal="center" vertical="center"/>
    </xf>
    <xf numFmtId="0" fontId="4" fillId="11" borderId="1" xfId="0" applyFont="1" applyFill="1" applyBorder="1" applyAlignment="1">
      <alignment horizontal="right" vertical="center"/>
    </xf>
    <xf numFmtId="0" fontId="3" fillId="0" borderId="1" xfId="0" applyFont="1" applyBorder="1" applyAlignment="1">
      <alignment horizontal="right" vertical="center"/>
    </xf>
    <xf numFmtId="165" fontId="3" fillId="0" borderId="1" xfId="0" applyNumberFormat="1" applyFont="1" applyBorder="1" applyAlignment="1">
      <alignment horizontal="right" vertical="center"/>
    </xf>
    <xf numFmtId="0" fontId="4" fillId="7" borderId="1" xfId="0" applyFont="1" applyFill="1" applyBorder="1" applyAlignment="1">
      <alignment horizontal="center" vertical="center"/>
    </xf>
    <xf numFmtId="0" fontId="4" fillId="7" borderId="1" xfId="0" applyFont="1" applyFill="1" applyBorder="1" applyAlignment="1">
      <alignment horizontal="right" vertical="center"/>
    </xf>
    <xf numFmtId="0" fontId="4" fillId="7" borderId="0" xfId="0" applyFont="1" applyFill="1"/>
    <xf numFmtId="49" fontId="4" fillId="7" borderId="1" xfId="0" applyNumberFormat="1" applyFont="1" applyFill="1" applyBorder="1" applyAlignment="1">
      <alignment horizontal="center" vertical="center"/>
    </xf>
    <xf numFmtId="49" fontId="3" fillId="0" borderId="1" xfId="0" applyNumberFormat="1" applyFont="1" applyBorder="1" applyAlignment="1">
      <alignment vertical="center"/>
    </xf>
    <xf numFmtId="0" fontId="1" fillId="9" borderId="0" xfId="5"/>
    <xf numFmtId="0" fontId="1" fillId="9" borderId="0" xfId="5" applyAlignment="1"/>
    <xf numFmtId="0" fontId="1" fillId="10" borderId="0" xfId="6"/>
    <xf numFmtId="0" fontId="1" fillId="10" borderId="0" xfId="6" applyAlignment="1"/>
    <xf numFmtId="49" fontId="1" fillId="2" borderId="0" xfId="1" applyNumberFormat="1"/>
    <xf numFmtId="0" fontId="1" fillId="2" borderId="0" xfId="1" applyAlignment="1"/>
    <xf numFmtId="49" fontId="4" fillId="12" borderId="1" xfId="0" applyNumberFormat="1" applyFont="1" applyFill="1" applyBorder="1" applyAlignment="1">
      <alignment horizontal="center" vertical="center"/>
    </xf>
    <xf numFmtId="0" fontId="4" fillId="12" borderId="1" xfId="0" applyFont="1" applyFill="1" applyBorder="1" applyAlignment="1">
      <alignment horizontal="center" vertical="center"/>
    </xf>
    <xf numFmtId="0" fontId="4" fillId="12" borderId="0" xfId="0" applyFont="1" applyFill="1"/>
    <xf numFmtId="0" fontId="5" fillId="0" borderId="0" xfId="0" applyFont="1"/>
    <xf numFmtId="0" fontId="5" fillId="0" borderId="1" xfId="0" applyFont="1" applyBorder="1"/>
    <xf numFmtId="166" fontId="3" fillId="0" borderId="1" xfId="0" applyNumberFormat="1" applyFont="1" applyBorder="1"/>
    <xf numFmtId="1" fontId="3" fillId="0" borderId="1" xfId="0" applyNumberFormat="1" applyFont="1" applyBorder="1"/>
    <xf numFmtId="167" fontId="3" fillId="0" borderId="0" xfId="0" applyNumberFormat="1" applyFont="1"/>
    <xf numFmtId="0" fontId="4" fillId="13" borderId="0" xfId="8" applyFont="1"/>
    <xf numFmtId="2" fontId="3" fillId="0" borderId="1" xfId="0" applyNumberFormat="1" applyFont="1" applyBorder="1"/>
    <xf numFmtId="0" fontId="0" fillId="0" borderId="1" xfId="0" applyBorder="1"/>
    <xf numFmtId="9" fontId="0" fillId="0" borderId="1" xfId="0" applyNumberFormat="1" applyBorder="1"/>
    <xf numFmtId="168" fontId="3" fillId="0" borderId="1" xfId="0" applyNumberFormat="1" applyFont="1" applyBorder="1"/>
    <xf numFmtId="0" fontId="11" fillId="0" borderId="1" xfId="0" applyFont="1" applyBorder="1"/>
    <xf numFmtId="0" fontId="3" fillId="0" borderId="4" xfId="0" applyFont="1" applyBorder="1"/>
    <xf numFmtId="164" fontId="3" fillId="0" borderId="4" xfId="0" applyNumberFormat="1" applyFont="1" applyBorder="1"/>
    <xf numFmtId="0" fontId="3" fillId="0" borderId="5" xfId="0" applyFont="1" applyBorder="1"/>
    <xf numFmtId="164" fontId="3" fillId="0" borderId="5" xfId="0" applyNumberFormat="1" applyFont="1" applyBorder="1"/>
    <xf numFmtId="0" fontId="3" fillId="0" borderId="6" xfId="0" applyFont="1" applyBorder="1"/>
    <xf numFmtId="164" fontId="3" fillId="0" borderId="6" xfId="0" applyNumberFormat="1" applyFont="1" applyBorder="1"/>
    <xf numFmtId="0" fontId="3" fillId="15" borderId="1" xfId="0" applyFont="1" applyFill="1" applyBorder="1"/>
    <xf numFmtId="164" fontId="3" fillId="15" borderId="1" xfId="0" applyNumberFormat="1" applyFont="1" applyFill="1" applyBorder="1"/>
    <xf numFmtId="0" fontId="5" fillId="0" borderId="2" xfId="7" applyFont="1"/>
    <xf numFmtId="0" fontId="3" fillId="2" borderId="3" xfId="1" applyFont="1" applyBorder="1"/>
    <xf numFmtId="0" fontId="3" fillId="2" borderId="4" xfId="1" applyFont="1" applyBorder="1"/>
    <xf numFmtId="0" fontId="3" fillId="2" borderId="5" xfId="1" applyFont="1" applyBorder="1"/>
    <xf numFmtId="0" fontId="5" fillId="15" borderId="1" xfId="7" applyFont="1" applyFill="1" applyBorder="1"/>
    <xf numFmtId="0" fontId="3" fillId="15" borderId="1" xfId="1" applyFont="1" applyFill="1" applyBorder="1"/>
    <xf numFmtId="0" fontId="11" fillId="0" borderId="1" xfId="1" applyFont="1" applyFill="1" applyBorder="1" applyAlignment="1">
      <alignment horizontal="left" indent="2"/>
    </xf>
    <xf numFmtId="0" fontId="11" fillId="0" borderId="1" xfId="7" applyFont="1" applyFill="1" applyBorder="1" applyAlignment="1"/>
    <xf numFmtId="0" fontId="11" fillId="0" borderId="7" xfId="0" applyFont="1" applyBorder="1"/>
    <xf numFmtId="169" fontId="3" fillId="0" borderId="0" xfId="0" applyNumberFormat="1" applyFont="1" applyAlignment="1">
      <alignment horizontal="right"/>
    </xf>
    <xf numFmtId="0" fontId="11" fillId="0" borderId="7" xfId="7" applyFont="1" applyFill="1" applyBorder="1" applyAlignment="1">
      <alignment horizontal="center"/>
    </xf>
    <xf numFmtId="0" fontId="11" fillId="0" borderId="8" xfId="7" applyFont="1" applyFill="1" applyBorder="1" applyAlignment="1">
      <alignment horizontal="center"/>
    </xf>
    <xf numFmtId="164" fontId="3" fillId="0" borderId="7" xfId="0" applyNumberFormat="1" applyFont="1" applyBorder="1" applyAlignment="1">
      <alignment horizontal="right"/>
    </xf>
    <xf numFmtId="164" fontId="3" fillId="0" borderId="8" xfId="0" applyNumberFormat="1" applyFont="1" applyBorder="1" applyAlignment="1">
      <alignment horizontal="right"/>
    </xf>
    <xf numFmtId="0" fontId="2" fillId="0" borderId="0" xfId="0" applyFont="1" applyAlignment="1">
      <alignment horizontal="left"/>
    </xf>
    <xf numFmtId="0" fontId="0" fillId="7" borderId="1" xfId="0" applyFill="1" applyBorder="1" applyAlignment="1">
      <alignment horizontal="center"/>
    </xf>
    <xf numFmtId="0" fontId="10" fillId="7" borderId="0" xfId="0" applyFont="1" applyFill="1" applyAlignment="1">
      <alignment horizontal="left"/>
    </xf>
    <xf numFmtId="0" fontId="9" fillId="14" borderId="0" xfId="0" applyFont="1" applyFill="1" applyAlignment="1">
      <alignment horizontal="left"/>
    </xf>
    <xf numFmtId="0" fontId="11" fillId="0" borderId="1" xfId="7" applyFont="1" applyFill="1" applyBorder="1" applyAlignment="1">
      <alignment horizontal="center"/>
    </xf>
    <xf numFmtId="164" fontId="3" fillId="0" borderId="1" xfId="0" applyNumberFormat="1" applyFont="1" applyBorder="1" applyAlignment="1">
      <alignment horizontal="center"/>
    </xf>
    <xf numFmtId="0" fontId="13" fillId="0" borderId="1" xfId="0" applyFont="1" applyBorder="1"/>
    <xf numFmtId="0" fontId="11" fillId="0" borderId="7" xfId="1" applyFont="1" applyFill="1" applyBorder="1" applyAlignment="1">
      <alignment horizontal="left" indent="2"/>
    </xf>
    <xf numFmtId="0" fontId="3" fillId="0" borderId="0" xfId="0" applyFont="1" applyBorder="1"/>
    <xf numFmtId="164" fontId="3" fillId="0" borderId="1" xfId="0" applyNumberFormat="1" applyFont="1" applyBorder="1" applyAlignment="1"/>
    <xf numFmtId="164" fontId="3" fillId="0" borderId="1" xfId="0" applyNumberFormat="1" applyFont="1" applyBorder="1" applyAlignment="1">
      <alignment horizontal="right"/>
    </xf>
    <xf numFmtId="0" fontId="2" fillId="18" borderId="0" xfId="0" applyFont="1" applyFill="1" applyAlignment="1">
      <alignment horizontal="center"/>
    </xf>
    <xf numFmtId="164" fontId="3" fillId="0" borderId="0" xfId="0" applyNumberFormat="1" applyFont="1" applyAlignment="1">
      <alignment vertical="center" wrapText="1"/>
    </xf>
    <xf numFmtId="0" fontId="4" fillId="7" borderId="9" xfId="0" applyFont="1" applyFill="1" applyBorder="1" applyAlignment="1">
      <alignment horizontal="center" vertical="center" wrapText="1"/>
    </xf>
    <xf numFmtId="164" fontId="3" fillId="19" borderId="0" xfId="0" applyNumberFormat="1" applyFont="1" applyFill="1"/>
    <xf numFmtId="164" fontId="3" fillId="8" borderId="0" xfId="0" applyNumberFormat="1" applyFont="1" applyFill="1"/>
    <xf numFmtId="0" fontId="4" fillId="20" borderId="1" xfId="7" applyFont="1" applyFill="1" applyBorder="1" applyAlignment="1"/>
    <xf numFmtId="0" fontId="11" fillId="20" borderId="7" xfId="1" applyFont="1" applyFill="1" applyBorder="1" applyAlignment="1">
      <alignment horizontal="left" indent="2"/>
    </xf>
    <xf numFmtId="0" fontId="0" fillId="0" borderId="1" xfId="0" applyBorder="1" applyAlignment="1">
      <alignment vertical="center"/>
    </xf>
    <xf numFmtId="3" fontId="0" fillId="0" borderId="1" xfId="0" applyNumberFormat="1" applyBorder="1" applyAlignment="1">
      <alignment vertical="center"/>
    </xf>
    <xf numFmtId="0" fontId="14" fillId="0" borderId="1" xfId="0" applyFont="1" applyBorder="1" applyAlignment="1">
      <alignment horizontal="center" vertical="center"/>
    </xf>
    <xf numFmtId="0" fontId="14" fillId="0" borderId="1" xfId="0" applyFont="1" applyBorder="1" applyAlignment="1">
      <alignment vertical="center"/>
    </xf>
    <xf numFmtId="0" fontId="1" fillId="17" borderId="1" xfId="10" applyBorder="1" applyAlignment="1">
      <alignment vertical="center"/>
    </xf>
    <xf numFmtId="3" fontId="1" fillId="17" borderId="1" xfId="10" applyNumberFormat="1" applyBorder="1" applyAlignment="1">
      <alignment vertical="center"/>
    </xf>
    <xf numFmtId="0" fontId="12" fillId="16" borderId="1" xfId="9" applyBorder="1" applyAlignment="1">
      <alignment vertical="center"/>
    </xf>
    <xf numFmtId="3" fontId="12" fillId="16" borderId="1" xfId="9" applyNumberFormat="1" applyBorder="1" applyAlignment="1">
      <alignment vertical="center"/>
    </xf>
    <xf numFmtId="0" fontId="7" fillId="0" borderId="0" xfId="0" applyFon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4" fillId="21" borderId="1" xfId="0" applyFont="1" applyFill="1" applyBorder="1"/>
  </cellXfs>
  <cellStyles count="11">
    <cellStyle name="20% - Accent1" xfId="1" builtinId="30"/>
    <cellStyle name="20% - Accent3" xfId="5" builtinId="38"/>
    <cellStyle name="20% - Accent6" xfId="3" builtinId="50"/>
    <cellStyle name="60% - Accent1" xfId="2" builtinId="32"/>
    <cellStyle name="60% - Accent3" xfId="6" builtinId="40"/>
    <cellStyle name="60% - Accent4" xfId="10" builtinId="44"/>
    <cellStyle name="60% - Accent6" xfId="4" builtinId="52"/>
    <cellStyle name="Accent2" xfId="8" builtinId="33"/>
    <cellStyle name="Good" xfId="9" builtinId="26"/>
    <cellStyle name="Normal" xfId="0" builtinId="0"/>
    <cellStyle name="Total" xfId="7" builtinId="25"/>
  </cellStyles>
  <dxfs count="4">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ont>
        <color rgb="FF006100"/>
      </font>
    </dxf>
  </dxfs>
  <tableStyles count="0" defaultTableStyle="TableStyleMedium2" defaultPivotStyle="PivotStyleLight16"/>
  <colors>
    <mruColors>
      <color rgb="FFFF5050"/>
      <color rgb="FF99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microsoft.com/office/2007/relationships/slicerCache" Target="slicerCaches/slicerCache3.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[Personal .xlsx]Privot!Pivot1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Privot!$B$3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Privot!$A$4:$A$44</c:f>
              <c:multiLvlStrCache>
                <c:ptCount val="30"/>
                <c:lvl>
                  <c:pt idx="0">
                    <c:v>Asociado-1</c:v>
                  </c:pt>
                  <c:pt idx="1">
                    <c:v>Asociado-10</c:v>
                  </c:pt>
                  <c:pt idx="2">
                    <c:v>Asociado-13</c:v>
                  </c:pt>
                  <c:pt idx="3">
                    <c:v>Asociado-17</c:v>
                  </c:pt>
                  <c:pt idx="4">
                    <c:v>Asociado-19</c:v>
                  </c:pt>
                  <c:pt idx="5">
                    <c:v>Asociado-5</c:v>
                  </c:pt>
                  <c:pt idx="6">
                    <c:v>Asociado-22</c:v>
                  </c:pt>
                  <c:pt idx="7">
                    <c:v>Asociado-26</c:v>
                  </c:pt>
                  <c:pt idx="8">
                    <c:v>Asociado-29</c:v>
                  </c:pt>
                  <c:pt idx="9">
                    <c:v>Asociado-3</c:v>
                  </c:pt>
                  <c:pt idx="10">
                    <c:v>Asociado-4</c:v>
                  </c:pt>
                  <c:pt idx="11">
                    <c:v>Asociado-7</c:v>
                  </c:pt>
                  <c:pt idx="12">
                    <c:v>Asociado-12</c:v>
                  </c:pt>
                  <c:pt idx="13">
                    <c:v>Asociado-14</c:v>
                  </c:pt>
                  <c:pt idx="14">
                    <c:v>Asociado-18</c:v>
                  </c:pt>
                  <c:pt idx="15">
                    <c:v>Asociado-2</c:v>
                  </c:pt>
                  <c:pt idx="16">
                    <c:v>Asociado-24</c:v>
                  </c:pt>
                  <c:pt idx="17">
                    <c:v>Asociado-28</c:v>
                  </c:pt>
                  <c:pt idx="18">
                    <c:v>Asociado-11</c:v>
                  </c:pt>
                  <c:pt idx="19">
                    <c:v>Asociado-16</c:v>
                  </c:pt>
                  <c:pt idx="20">
                    <c:v>Asociado-21</c:v>
                  </c:pt>
                  <c:pt idx="21">
                    <c:v>Asociado-23</c:v>
                  </c:pt>
                  <c:pt idx="22">
                    <c:v>Asociado-30</c:v>
                  </c:pt>
                  <c:pt idx="23">
                    <c:v>Asociado-9</c:v>
                  </c:pt>
                  <c:pt idx="24">
                    <c:v>Asociado-15</c:v>
                  </c:pt>
                  <c:pt idx="25">
                    <c:v>Asociado-20</c:v>
                  </c:pt>
                  <c:pt idx="26">
                    <c:v>Asociado-27</c:v>
                  </c:pt>
                  <c:pt idx="27">
                    <c:v>Asociado-31</c:v>
                  </c:pt>
                  <c:pt idx="28">
                    <c:v>Asociado-6</c:v>
                  </c:pt>
                  <c:pt idx="29">
                    <c:v>Asociado-8</c:v>
                  </c:pt>
                </c:lvl>
                <c:lvl>
                  <c:pt idx="0">
                    <c:v>Suc-1</c:v>
                  </c:pt>
                  <c:pt idx="6">
                    <c:v>Suc-2</c:v>
                  </c:pt>
                  <c:pt idx="12">
                    <c:v>Suc-3</c:v>
                  </c:pt>
                  <c:pt idx="18">
                    <c:v>Suc-4</c:v>
                  </c:pt>
                  <c:pt idx="24">
                    <c:v>Suc-5</c:v>
                  </c:pt>
                </c:lvl>
              </c:multiLvlStrCache>
            </c:multiLvlStrRef>
          </c:cat>
          <c:val>
            <c:numRef>
              <c:f>Privot!$B$4:$B$44</c:f>
              <c:numCache>
                <c:formatCode>General</c:formatCode>
                <c:ptCount val="30"/>
                <c:pt idx="0">
                  <c:v>646</c:v>
                </c:pt>
                <c:pt idx="1">
                  <c:v>226</c:v>
                </c:pt>
                <c:pt idx="2">
                  <c:v>638</c:v>
                </c:pt>
                <c:pt idx="3">
                  <c:v>771</c:v>
                </c:pt>
                <c:pt idx="4">
                  <c:v>744</c:v>
                </c:pt>
                <c:pt idx="5">
                  <c:v>239</c:v>
                </c:pt>
                <c:pt idx="6">
                  <c:v>301</c:v>
                </c:pt>
                <c:pt idx="7">
                  <c:v>920</c:v>
                </c:pt>
                <c:pt idx="8">
                  <c:v>662</c:v>
                </c:pt>
                <c:pt idx="9">
                  <c:v>578</c:v>
                </c:pt>
                <c:pt idx="10">
                  <c:v>458</c:v>
                </c:pt>
                <c:pt idx="11">
                  <c:v>721</c:v>
                </c:pt>
                <c:pt idx="12">
                  <c:v>694</c:v>
                </c:pt>
                <c:pt idx="13">
                  <c:v>951</c:v>
                </c:pt>
                <c:pt idx="14">
                  <c:v>777</c:v>
                </c:pt>
                <c:pt idx="15">
                  <c:v>382</c:v>
                </c:pt>
                <c:pt idx="16">
                  <c:v>487</c:v>
                </c:pt>
                <c:pt idx="17">
                  <c:v>365</c:v>
                </c:pt>
                <c:pt idx="18">
                  <c:v>690</c:v>
                </c:pt>
                <c:pt idx="19">
                  <c:v>529</c:v>
                </c:pt>
                <c:pt idx="20">
                  <c:v>884</c:v>
                </c:pt>
                <c:pt idx="21">
                  <c:v>812</c:v>
                </c:pt>
                <c:pt idx="22">
                  <c:v>735</c:v>
                </c:pt>
                <c:pt idx="23">
                  <c:v>843</c:v>
                </c:pt>
                <c:pt idx="24">
                  <c:v>699</c:v>
                </c:pt>
                <c:pt idx="25">
                  <c:v>506</c:v>
                </c:pt>
                <c:pt idx="26">
                  <c:v>532</c:v>
                </c:pt>
                <c:pt idx="27">
                  <c:v>615</c:v>
                </c:pt>
                <c:pt idx="28">
                  <c:v>418</c:v>
                </c:pt>
                <c:pt idx="29">
                  <c:v>745</c:v>
                </c:pt>
              </c:numCache>
            </c:numRef>
          </c:val>
          <c:extLst>
            <c:ext xmlns:c16="http://schemas.microsoft.com/office/drawing/2014/chart" uri="{C3380CC4-5D6E-409C-BE32-E72D297353CC}">
              <c16:uniqueId val="{00000000-6D10-48E8-8791-1C9AFF5F7B38}"/>
            </c:ext>
          </c:extLst>
        </c:ser>
        <c:dLbls>
          <c:showLegendKey val="0"/>
          <c:showVal val="1"/>
          <c:showCatName val="0"/>
          <c:showSerName val="0"/>
          <c:showPercent val="0"/>
          <c:showBubbleSize val="0"/>
        </c:dLbls>
        <c:gapWidth val="75"/>
        <c:axId val="820992432"/>
        <c:axId val="1266005456"/>
      </c:barChart>
      <c:catAx>
        <c:axId val="820992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005456"/>
        <c:crosses val="autoZero"/>
        <c:auto val="1"/>
        <c:lblAlgn val="ctr"/>
        <c:lblOffset val="100"/>
        <c:noMultiLvlLbl val="0"/>
      </c:catAx>
      <c:valAx>
        <c:axId val="126600545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92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83820</xdr:colOff>
      <xdr:row>14</xdr:row>
      <xdr:rowOff>38100</xdr:rowOff>
    </xdr:from>
    <xdr:to>
      <xdr:col>16</xdr:col>
      <xdr:colOff>45720</xdr:colOff>
      <xdr:row>33</xdr:row>
      <xdr:rowOff>91440</xdr:rowOff>
    </xdr:to>
    <xdr:graphicFrame macro="">
      <xdr:nvGraphicFramePr>
        <xdr:cNvPr id="2" name="Chart 1">
          <a:extLst>
            <a:ext uri="{FF2B5EF4-FFF2-40B4-BE49-F238E27FC236}">
              <a16:creationId xmlns:a16="http://schemas.microsoft.com/office/drawing/2014/main" id="{E01EB8E5-EB5B-3B75-6A5C-AF9FD26CE3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83820</xdr:colOff>
      <xdr:row>0</xdr:row>
      <xdr:rowOff>22860</xdr:rowOff>
    </xdr:from>
    <xdr:to>
      <xdr:col>4</xdr:col>
      <xdr:colOff>312420</xdr:colOff>
      <xdr:row>13</xdr:row>
      <xdr:rowOff>112395</xdr:rowOff>
    </xdr:to>
    <mc:AlternateContent xmlns:mc="http://schemas.openxmlformats.org/markup-compatibility/2006">
      <mc:Choice xmlns:a14="http://schemas.microsoft.com/office/drawing/2010/main" Requires="a14">
        <xdr:graphicFrame macro="">
          <xdr:nvGraphicFramePr>
            <xdr:cNvPr id="3" name="Sucursal">
              <a:extLst>
                <a:ext uri="{FF2B5EF4-FFF2-40B4-BE49-F238E27FC236}">
                  <a16:creationId xmlns:a16="http://schemas.microsoft.com/office/drawing/2014/main" id="{57AAA14E-CC5D-D45F-34D2-4513FD01FA37}"/>
                </a:ext>
              </a:extLst>
            </xdr:cNvPr>
            <xdr:cNvGraphicFramePr/>
          </xdr:nvGraphicFramePr>
          <xdr:xfrm>
            <a:off x="0" y="0"/>
            <a:ext cx="0" cy="0"/>
          </xdr:xfrm>
          <a:graphic>
            <a:graphicData uri="http://schemas.microsoft.com/office/drawing/2010/slicer">
              <sle:slicer xmlns:sle="http://schemas.microsoft.com/office/drawing/2010/slicer" name="Sucursal"/>
            </a:graphicData>
          </a:graphic>
        </xdr:graphicFrame>
      </mc:Choice>
      <mc:Fallback>
        <xdr:sp macro="" textlink="">
          <xdr:nvSpPr>
            <xdr:cNvPr id="0" name=""/>
            <xdr:cNvSpPr>
              <a:spLocks noTextEdit="1"/>
            </xdr:cNvSpPr>
          </xdr:nvSpPr>
          <xdr:spPr>
            <a:xfrm>
              <a:off x="1988820" y="228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403860</xdr:colOff>
      <xdr:row>0</xdr:row>
      <xdr:rowOff>30480</xdr:rowOff>
    </xdr:from>
    <xdr:to>
      <xdr:col>7</xdr:col>
      <xdr:colOff>403860</xdr:colOff>
      <xdr:row>13</xdr:row>
      <xdr:rowOff>120015</xdr:rowOff>
    </xdr:to>
    <mc:AlternateContent xmlns:mc="http://schemas.openxmlformats.org/markup-compatibility/2006">
      <mc:Choice xmlns:a14="http://schemas.microsoft.com/office/drawing/2010/main" Requires="a14">
        <xdr:graphicFrame macro="">
          <xdr:nvGraphicFramePr>
            <xdr:cNvPr id="4" name="Vendedor">
              <a:extLst>
                <a:ext uri="{FF2B5EF4-FFF2-40B4-BE49-F238E27FC236}">
                  <a16:creationId xmlns:a16="http://schemas.microsoft.com/office/drawing/2014/main" id="{16C7970D-8ED3-217E-A238-BA3FEA3C609B}"/>
                </a:ext>
              </a:extLst>
            </xdr:cNvPr>
            <xdr:cNvGraphicFramePr/>
          </xdr:nvGraphicFramePr>
          <xdr:xfrm>
            <a:off x="0" y="0"/>
            <a:ext cx="0" cy="0"/>
          </xdr:xfrm>
          <a:graphic>
            <a:graphicData uri="http://schemas.microsoft.com/office/drawing/2010/slicer">
              <sle:slicer xmlns:sle="http://schemas.microsoft.com/office/drawing/2010/slicer" name="Vendedor"/>
            </a:graphicData>
          </a:graphic>
        </xdr:graphicFrame>
      </mc:Choice>
      <mc:Fallback>
        <xdr:sp macro="" textlink="">
          <xdr:nvSpPr>
            <xdr:cNvPr id="0" name=""/>
            <xdr:cNvSpPr>
              <a:spLocks noTextEdit="1"/>
            </xdr:cNvSpPr>
          </xdr:nvSpPr>
          <xdr:spPr>
            <a:xfrm>
              <a:off x="3909060" y="304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472440</xdr:colOff>
      <xdr:row>0</xdr:row>
      <xdr:rowOff>15240</xdr:rowOff>
    </xdr:from>
    <xdr:to>
      <xdr:col>10</xdr:col>
      <xdr:colOff>472440</xdr:colOff>
      <xdr:row>13</xdr:row>
      <xdr:rowOff>104775</xdr:rowOff>
    </xdr:to>
    <mc:AlternateContent xmlns:mc="http://schemas.openxmlformats.org/markup-compatibility/2006">
      <mc:Choice xmlns:a14="http://schemas.microsoft.com/office/drawing/2010/main" Requires="a14">
        <xdr:graphicFrame macro="">
          <xdr:nvGraphicFramePr>
            <xdr:cNvPr id="5" name="Producto">
              <a:extLst>
                <a:ext uri="{FF2B5EF4-FFF2-40B4-BE49-F238E27FC236}">
                  <a16:creationId xmlns:a16="http://schemas.microsoft.com/office/drawing/2014/main" id="{A6EF4D70-9EE2-D4FB-6609-C973C5D9B379}"/>
                </a:ext>
              </a:extLst>
            </xdr:cNvPr>
            <xdr:cNvGraphicFramePr/>
          </xdr:nvGraphicFramePr>
          <xdr:xfrm>
            <a:off x="0" y="0"/>
            <a:ext cx="0" cy="0"/>
          </xdr:xfrm>
          <a:graphic>
            <a:graphicData uri="http://schemas.microsoft.com/office/drawing/2010/slicer">
              <sle:slicer xmlns:sle="http://schemas.microsoft.com/office/drawing/2010/slicer" name="Producto"/>
            </a:graphicData>
          </a:graphic>
        </xdr:graphicFrame>
      </mc:Choice>
      <mc:Fallback>
        <xdr:sp macro="" textlink="">
          <xdr:nvSpPr>
            <xdr:cNvPr id="0" name=""/>
            <xdr:cNvSpPr>
              <a:spLocks noTextEdit="1"/>
            </xdr:cNvSpPr>
          </xdr:nvSpPr>
          <xdr:spPr>
            <a:xfrm>
              <a:off x="5806440" y="152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win" refreshedDate="46205.562547800924" createdVersion="8" refreshedVersion="8" minRefreshableVersion="3" recordCount="30" xr:uid="{E154FBAA-6CF6-4298-A64A-2AF5CBA78E00}">
  <cacheSource type="worksheet">
    <worksheetSource name="Table1"/>
  </cacheSource>
  <cacheFields count="4">
    <cacheField name="Sucursal" numFmtId="0">
      <sharedItems count="5">
        <s v="Suc-1"/>
        <s v="Suc-2"/>
        <s v="Suc-3"/>
        <s v="Suc-4"/>
        <s v="Suc-5"/>
      </sharedItems>
    </cacheField>
    <cacheField name="Vendedor" numFmtId="0">
      <sharedItems count="30">
        <s v="Asociado-1"/>
        <s v="Asociado-10"/>
        <s v="Asociado-13"/>
        <s v="Asociado-17"/>
        <s v="Asociado-19"/>
        <s v="Asociado-5"/>
        <s v="Asociado-7"/>
        <s v="Asociado-4"/>
        <s v="Asociado-22"/>
        <s v="Asociado-29"/>
        <s v="Asociado-3"/>
        <s v="Asociado-26"/>
        <s v="Asociado-12"/>
        <s v="Asociado-18"/>
        <s v="Asociado-2"/>
        <s v="Asociado-14"/>
        <s v="Asociado-24"/>
        <s v="Asociado-28"/>
        <s v="Asociado-21"/>
        <s v="Asociado-11"/>
        <s v="Asociado-16"/>
        <s v="Asociado-9"/>
        <s v="Asociado-30"/>
        <s v="Asociado-23"/>
        <s v="Asociado-27"/>
        <s v="Asociado-31"/>
        <s v="Asociado-8"/>
        <s v="Asociado-6"/>
        <s v="Asociado-15"/>
        <s v="Asociado-20"/>
      </sharedItems>
    </cacheField>
    <cacheField name="Producto" numFmtId="0">
      <sharedItems count="28">
        <s v="ID-10"/>
        <s v="ID-17"/>
        <s v="ID-32"/>
        <s v="ID-48"/>
        <s v="ID-41"/>
        <s v="ID-20"/>
        <s v="ID-18"/>
        <s v="ID-15"/>
        <s v="ID-09"/>
        <s v="ID-35"/>
        <s v="ID-22"/>
        <s v="ID-14"/>
        <s v="ID-25"/>
        <s v="ID-44"/>
        <s v="ID-02"/>
        <s v="ID-07"/>
        <s v="ID-03"/>
        <s v="ID-12"/>
        <s v="ID-28"/>
        <s v="ID-31"/>
        <s v="ID-39"/>
        <s v="ID-45"/>
        <s v="ID-08"/>
        <s v="ID-40"/>
        <s v="ID-19"/>
        <s v="ID-24"/>
        <s v="ID-05"/>
        <s v="ID-33"/>
      </sharedItems>
    </cacheField>
    <cacheField name="Ventas" numFmtId="0">
      <sharedItems containsSemiMixedTypes="0" containsString="0" containsNumber="1" containsInteger="1" minValue="226" maxValue="951"/>
    </cacheField>
  </cacheFields>
  <extLst>
    <ext xmlns:x14="http://schemas.microsoft.com/office/spreadsheetml/2009/9/main" uri="{725AE2AE-9491-48be-B2B4-4EB974FC3084}">
      <x14:pivotCacheDefinition pivotCacheId="13354066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win" refreshedDate="46205.565373958336" createdVersion="8" refreshedVersion="8" minRefreshableVersion="3" recordCount="24" xr:uid="{AF54E660-DC4D-4452-B2E5-F8918D28092D}">
  <cacheSource type="worksheet">
    <worksheetSource ref="B3:G27" sheet="Filtros Avanzado"/>
  </cacheSource>
  <cacheFields count="6">
    <cacheField name="DNI" numFmtId="0">
      <sharedItems containsSemiMixedTypes="0" containsString="0" containsNumber="1" containsInteger="1" minValue="12548984" maxValue="56985968"/>
    </cacheField>
    <cacheField name="Nombre y Apellido" numFmtId="0">
      <sharedItems count="24">
        <s v="Miguel Vela"/>
        <s v="Julio Martín"/>
        <s v="Miguel Sánchez"/>
        <s v="María Salcedo"/>
        <s v="Lizeth Lozano"/>
        <s v="Mario Casas"/>
        <s v="José López"/>
        <s v="Marcia Cárdenas"/>
        <s v="Jean Carlos Larrea"/>
        <s v="Marleni Farisque"/>
        <s v="Sandra Cubas"/>
        <s v="Pedro Ramírez"/>
        <s v="Ana Pérez"/>
        <s v="Carlos Méndez"/>
        <s v="Rosa Jiménez"/>
        <s v="Luis Gómez"/>
        <s v="Diana Castillo"/>
        <s v="Andrés Torres"/>
        <s v="Patricia Medina"/>
        <s v="Kevin Díaz"/>
        <s v="Sofía Herrera"/>
        <s v="Cristian Núñez"/>
        <s v="Laura Ortiz"/>
        <s v="Justino Baca"/>
      </sharedItems>
    </cacheField>
    <cacheField name="Sexo" numFmtId="0">
      <sharedItems count="2">
        <s v="Masculino"/>
        <s v="Femenino"/>
      </sharedItems>
    </cacheField>
    <cacheField name="Edad" numFmtId="0">
      <sharedItems containsSemiMixedTypes="0" containsString="0" containsNumber="1" containsInteger="1" minValue="24" maxValue="45"/>
    </cacheField>
    <cacheField name="Cargo" numFmtId="0">
      <sharedItems count="4">
        <s v="Administrador"/>
        <s v="Logística"/>
        <s v="Contador"/>
        <s v="Secretaria"/>
      </sharedItems>
    </cacheField>
    <cacheField name="Sueldo" numFmtId="0">
      <sharedItems containsSemiMixedTypes="0" containsString="0" containsNumber="1" containsInteger="1" minValue="1200" maxValue="34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n v="646"/>
  </r>
  <r>
    <x v="0"/>
    <x v="1"/>
    <x v="1"/>
    <n v="226"/>
  </r>
  <r>
    <x v="0"/>
    <x v="2"/>
    <x v="2"/>
    <n v="638"/>
  </r>
  <r>
    <x v="0"/>
    <x v="3"/>
    <x v="3"/>
    <n v="771"/>
  </r>
  <r>
    <x v="0"/>
    <x v="4"/>
    <x v="4"/>
    <n v="744"/>
  </r>
  <r>
    <x v="0"/>
    <x v="5"/>
    <x v="5"/>
    <n v="239"/>
  </r>
  <r>
    <x v="1"/>
    <x v="6"/>
    <x v="6"/>
    <n v="721"/>
  </r>
  <r>
    <x v="1"/>
    <x v="7"/>
    <x v="7"/>
    <n v="458"/>
  </r>
  <r>
    <x v="1"/>
    <x v="8"/>
    <x v="8"/>
    <n v="301"/>
  </r>
  <r>
    <x v="1"/>
    <x v="9"/>
    <x v="9"/>
    <n v="662"/>
  </r>
  <r>
    <x v="1"/>
    <x v="10"/>
    <x v="10"/>
    <n v="578"/>
  </r>
  <r>
    <x v="1"/>
    <x v="11"/>
    <x v="11"/>
    <n v="920"/>
  </r>
  <r>
    <x v="2"/>
    <x v="12"/>
    <x v="0"/>
    <n v="694"/>
  </r>
  <r>
    <x v="2"/>
    <x v="13"/>
    <x v="12"/>
    <n v="777"/>
  </r>
  <r>
    <x v="2"/>
    <x v="14"/>
    <x v="13"/>
    <n v="382"/>
  </r>
  <r>
    <x v="2"/>
    <x v="15"/>
    <x v="14"/>
    <n v="951"/>
  </r>
  <r>
    <x v="2"/>
    <x v="16"/>
    <x v="1"/>
    <n v="487"/>
  </r>
  <r>
    <x v="2"/>
    <x v="17"/>
    <x v="15"/>
    <n v="365"/>
  </r>
  <r>
    <x v="3"/>
    <x v="18"/>
    <x v="16"/>
    <n v="884"/>
  </r>
  <r>
    <x v="3"/>
    <x v="19"/>
    <x v="17"/>
    <n v="690"/>
  </r>
  <r>
    <x v="3"/>
    <x v="20"/>
    <x v="18"/>
    <n v="529"/>
  </r>
  <r>
    <x v="3"/>
    <x v="21"/>
    <x v="19"/>
    <n v="843"/>
  </r>
  <r>
    <x v="3"/>
    <x v="22"/>
    <x v="20"/>
    <n v="735"/>
  </r>
  <r>
    <x v="3"/>
    <x v="23"/>
    <x v="21"/>
    <n v="812"/>
  </r>
  <r>
    <x v="4"/>
    <x v="24"/>
    <x v="22"/>
    <n v="532"/>
  </r>
  <r>
    <x v="4"/>
    <x v="25"/>
    <x v="23"/>
    <n v="615"/>
  </r>
  <r>
    <x v="4"/>
    <x v="26"/>
    <x v="24"/>
    <n v="745"/>
  </r>
  <r>
    <x v="4"/>
    <x v="27"/>
    <x v="25"/>
    <n v="418"/>
  </r>
  <r>
    <x v="4"/>
    <x v="28"/>
    <x v="26"/>
    <n v="699"/>
  </r>
  <r>
    <x v="4"/>
    <x v="29"/>
    <x v="27"/>
    <n v="50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n v="46250489"/>
    <x v="0"/>
    <x v="0"/>
    <n v="32"/>
    <x v="0"/>
    <n v="3000"/>
  </r>
  <r>
    <n v="25987456"/>
    <x v="1"/>
    <x v="0"/>
    <n v="28"/>
    <x v="0"/>
    <n v="1800"/>
  </r>
  <r>
    <n v="15486325"/>
    <x v="2"/>
    <x v="0"/>
    <n v="31"/>
    <x v="1"/>
    <n v="2200"/>
  </r>
  <r>
    <n v="12548984"/>
    <x v="3"/>
    <x v="1"/>
    <n v="29"/>
    <x v="1"/>
    <n v="2200"/>
  </r>
  <r>
    <n v="56322588"/>
    <x v="4"/>
    <x v="1"/>
    <n v="27"/>
    <x v="1"/>
    <n v="2500"/>
  </r>
  <r>
    <n v="44558874"/>
    <x v="5"/>
    <x v="0"/>
    <n v="40"/>
    <x v="1"/>
    <n v="3000"/>
  </r>
  <r>
    <n v="43654785"/>
    <x v="6"/>
    <x v="0"/>
    <n v="45"/>
    <x v="2"/>
    <n v="1850"/>
  </r>
  <r>
    <n v="56456564"/>
    <x v="7"/>
    <x v="1"/>
    <n v="30"/>
    <x v="2"/>
    <n v="2850"/>
  </r>
  <r>
    <n v="46548787"/>
    <x v="8"/>
    <x v="0"/>
    <n v="27"/>
    <x v="2"/>
    <n v="1850"/>
  </r>
  <r>
    <n v="45465454"/>
    <x v="9"/>
    <x v="1"/>
    <n v="28"/>
    <x v="3"/>
    <n v="1200"/>
  </r>
  <r>
    <n v="56564654"/>
    <x v="10"/>
    <x v="1"/>
    <n v="27"/>
    <x v="3"/>
    <n v="1200"/>
  </r>
  <r>
    <n v="48974562"/>
    <x v="11"/>
    <x v="0"/>
    <n v="35"/>
    <x v="0"/>
    <n v="2600"/>
  </r>
  <r>
    <n v="45879632"/>
    <x v="12"/>
    <x v="1"/>
    <n v="24"/>
    <x v="3"/>
    <n v="1300"/>
  </r>
  <r>
    <n v="41236547"/>
    <x v="13"/>
    <x v="0"/>
    <n v="38"/>
    <x v="1"/>
    <n v="2750"/>
  </r>
  <r>
    <n v="42365478"/>
    <x v="14"/>
    <x v="1"/>
    <n v="33"/>
    <x v="2"/>
    <n v="2900"/>
  </r>
  <r>
    <n v="49874563"/>
    <x v="15"/>
    <x v="0"/>
    <n v="29"/>
    <x v="1"/>
    <n v="2400"/>
  </r>
  <r>
    <n v="40125698"/>
    <x v="16"/>
    <x v="1"/>
    <n v="31"/>
    <x v="3"/>
    <n v="1450"/>
  </r>
  <r>
    <n v="47896541"/>
    <x v="17"/>
    <x v="0"/>
    <n v="42"/>
    <x v="0"/>
    <n v="3400"/>
  </r>
  <r>
    <n v="43215478"/>
    <x v="18"/>
    <x v="1"/>
    <n v="36"/>
    <x v="2"/>
    <n v="3100"/>
  </r>
  <r>
    <n v="45698741"/>
    <x v="19"/>
    <x v="0"/>
    <n v="26"/>
    <x v="1"/>
    <n v="2100"/>
  </r>
  <r>
    <n v="42147896"/>
    <x v="20"/>
    <x v="1"/>
    <n v="25"/>
    <x v="3"/>
    <n v="1250"/>
  </r>
  <r>
    <n v="48796532"/>
    <x v="21"/>
    <x v="0"/>
    <n v="39"/>
    <x v="0"/>
    <n v="3300"/>
  </r>
  <r>
    <n v="46987412"/>
    <x v="22"/>
    <x v="1"/>
    <n v="34"/>
    <x v="2"/>
    <n v="2950"/>
  </r>
  <r>
    <n v="56985968"/>
    <x v="23"/>
    <x v="0"/>
    <n v="30"/>
    <x v="0"/>
    <n v="25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7026A0-6AF4-40D2-97CE-C1E0A3FA8528}" name="Pivot1"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44" firstHeaderRow="1" firstDataRow="1" firstDataCol="1"/>
  <pivotFields count="4">
    <pivotField axis="axisRow" subtotalTop="0" showAll="0">
      <items count="6">
        <item x="0"/>
        <item x="1"/>
        <item x="2"/>
        <item x="3"/>
        <item x="4"/>
        <item t="default" sd="0"/>
      </items>
    </pivotField>
    <pivotField axis="axisRow" subtotalTop="0" showAll="0">
      <items count="31">
        <item sd="0" x="0"/>
        <item sd="0" x="1"/>
        <item x="19"/>
        <item x="12"/>
        <item sd="0" x="2"/>
        <item x="15"/>
        <item x="28"/>
        <item x="20"/>
        <item sd="0" x="3"/>
        <item x="13"/>
        <item sd="0" x="4"/>
        <item x="14"/>
        <item x="29"/>
        <item x="18"/>
        <item x="8"/>
        <item x="23"/>
        <item x="16"/>
        <item x="11"/>
        <item x="24"/>
        <item x="17"/>
        <item x="9"/>
        <item x="10"/>
        <item x="22"/>
        <item x="25"/>
        <item x="7"/>
        <item sd="0" x="5"/>
        <item x="27"/>
        <item x="6"/>
        <item x="26"/>
        <item x="21"/>
        <item t="default"/>
      </items>
    </pivotField>
    <pivotField subtotalTop="0" showAll="0">
      <items count="29">
        <item x="14"/>
        <item x="16"/>
        <item x="26"/>
        <item x="15"/>
        <item x="22"/>
        <item x="8"/>
        <item x="0"/>
        <item x="17"/>
        <item x="11"/>
        <item x="7"/>
        <item x="1"/>
        <item x="6"/>
        <item x="24"/>
        <item x="5"/>
        <item x="10"/>
        <item x="25"/>
        <item x="12"/>
        <item x="18"/>
        <item x="19"/>
        <item x="2"/>
        <item x="27"/>
        <item x="9"/>
        <item x="20"/>
        <item x="23"/>
        <item x="4"/>
        <item x="13"/>
        <item x="21"/>
        <item x="3"/>
        <item t="default"/>
      </items>
    </pivotField>
    <pivotField dataField="1" subtotalTop="0" showAll="0"/>
  </pivotFields>
  <rowFields count="2">
    <field x="0"/>
    <field x="1"/>
  </rowFields>
  <rowItems count="41">
    <i>
      <x/>
    </i>
    <i r="1">
      <x/>
    </i>
    <i r="1">
      <x v="1"/>
    </i>
    <i r="1">
      <x v="4"/>
    </i>
    <i r="1">
      <x v="8"/>
    </i>
    <i r="1">
      <x v="10"/>
    </i>
    <i r="1">
      <x v="25"/>
    </i>
    <i t="default">
      <x/>
    </i>
    <i>
      <x v="1"/>
    </i>
    <i r="1">
      <x v="14"/>
    </i>
    <i r="1">
      <x v="17"/>
    </i>
    <i r="1">
      <x v="20"/>
    </i>
    <i r="1">
      <x v="21"/>
    </i>
    <i r="1">
      <x v="24"/>
    </i>
    <i r="1">
      <x v="27"/>
    </i>
    <i t="default">
      <x v="1"/>
    </i>
    <i>
      <x v="2"/>
    </i>
    <i r="1">
      <x v="3"/>
    </i>
    <i r="1">
      <x v="5"/>
    </i>
    <i r="1">
      <x v="9"/>
    </i>
    <i r="1">
      <x v="11"/>
    </i>
    <i r="1">
      <x v="16"/>
    </i>
    <i r="1">
      <x v="19"/>
    </i>
    <i t="default">
      <x v="2"/>
    </i>
    <i>
      <x v="3"/>
    </i>
    <i r="1">
      <x v="2"/>
    </i>
    <i r="1">
      <x v="7"/>
    </i>
    <i r="1">
      <x v="13"/>
    </i>
    <i r="1">
      <x v="15"/>
    </i>
    <i r="1">
      <x v="22"/>
    </i>
    <i r="1">
      <x v="29"/>
    </i>
    <i t="default">
      <x v="3"/>
    </i>
    <i>
      <x v="4"/>
    </i>
    <i r="1">
      <x v="6"/>
    </i>
    <i r="1">
      <x v="12"/>
    </i>
    <i r="1">
      <x v="18"/>
    </i>
    <i r="1">
      <x v="23"/>
    </i>
    <i r="1">
      <x v="26"/>
    </i>
    <i r="1">
      <x v="28"/>
    </i>
    <i t="default">
      <x v="4"/>
    </i>
    <i t="grand">
      <x/>
    </i>
  </rowItems>
  <colItems count="1">
    <i/>
  </colItems>
  <dataFields count="1">
    <dataField name="Sum of Venta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6A84B65-D182-4F43-A0B7-8E335B212C6C}" name="PivotTable6"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0" firstHeaderRow="1" firstDataRow="1" firstDataCol="1" rowPageCount="1" colPageCount="1"/>
  <pivotFields count="6">
    <pivotField showAll="0"/>
    <pivotField axis="axisRow" showAll="0">
      <items count="25">
        <item x="12"/>
        <item x="17"/>
        <item x="13"/>
        <item x="21"/>
        <item x="16"/>
        <item x="8"/>
        <item x="6"/>
        <item x="1"/>
        <item x="19"/>
        <item x="22"/>
        <item x="4"/>
        <item x="15"/>
        <item x="7"/>
        <item x="3"/>
        <item x="5"/>
        <item x="9"/>
        <item x="2"/>
        <item x="0"/>
        <item x="18"/>
        <item x="11"/>
        <item x="14"/>
        <item x="10"/>
        <item x="20"/>
        <item x="23"/>
        <item t="default"/>
      </items>
    </pivotField>
    <pivotField showAll="0">
      <items count="3">
        <item x="1"/>
        <item x="0"/>
        <item t="default"/>
      </items>
    </pivotField>
    <pivotField showAll="0"/>
    <pivotField axis="axisPage" showAll="0">
      <items count="5">
        <item x="0"/>
        <item x="2"/>
        <item x="1"/>
        <item x="3"/>
        <item t="default"/>
      </items>
    </pivotField>
    <pivotField dataField="1" showAll="0"/>
  </pivotFields>
  <rowFields count="1">
    <field x="1"/>
  </rowFields>
  <rowItems count="7">
    <i>
      <x v="1"/>
    </i>
    <i>
      <x v="3"/>
    </i>
    <i>
      <x v="7"/>
    </i>
    <i>
      <x v="17"/>
    </i>
    <i>
      <x v="19"/>
    </i>
    <i>
      <x v="23"/>
    </i>
    <i t="grand">
      <x/>
    </i>
  </rowItems>
  <colItems count="1">
    <i/>
  </colItems>
  <pageFields count="1">
    <pageField fld="4" item="0" hier="-1"/>
  </pageFields>
  <dataFields count="1">
    <dataField name="Sum of Sueldo"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6A84B65-D182-4F43-A0B7-8E335B212C6C}" name="PivotTable5"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0" firstHeaderRow="1" firstDataRow="1" firstDataCol="1" rowPageCount="1" colPageCount="1"/>
  <pivotFields count="6">
    <pivotField showAll="0"/>
    <pivotField axis="axisRow" showAll="0">
      <items count="25">
        <item x="12"/>
        <item x="17"/>
        <item x="13"/>
        <item x="21"/>
        <item x="16"/>
        <item x="8"/>
        <item x="6"/>
        <item x="1"/>
        <item x="19"/>
        <item x="22"/>
        <item x="4"/>
        <item x="15"/>
        <item x="7"/>
        <item x="3"/>
        <item x="5"/>
        <item x="9"/>
        <item x="2"/>
        <item x="0"/>
        <item x="18"/>
        <item x="11"/>
        <item x="14"/>
        <item x="10"/>
        <item x="20"/>
        <item x="23"/>
        <item t="default"/>
      </items>
    </pivotField>
    <pivotField showAll="0">
      <items count="3">
        <item x="1"/>
        <item x="0"/>
        <item t="default"/>
      </items>
    </pivotField>
    <pivotField showAll="0"/>
    <pivotField axis="axisPage" showAll="0">
      <items count="5">
        <item x="0"/>
        <item x="2"/>
        <item x="1"/>
        <item x="3"/>
        <item t="default"/>
      </items>
    </pivotField>
    <pivotField dataField="1" showAll="0"/>
  </pivotFields>
  <rowFields count="1">
    <field x="1"/>
  </rowFields>
  <rowItems count="7">
    <i>
      <x v="5"/>
    </i>
    <i>
      <x v="6"/>
    </i>
    <i>
      <x v="9"/>
    </i>
    <i>
      <x v="12"/>
    </i>
    <i>
      <x v="18"/>
    </i>
    <i>
      <x v="20"/>
    </i>
    <i t="grand">
      <x/>
    </i>
  </rowItems>
  <colItems count="1">
    <i/>
  </colItems>
  <pageFields count="1">
    <pageField fld="4" item="1" hier="-1"/>
  </pageFields>
  <dataFields count="1">
    <dataField name="Sum of Sueldo"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A84B65-D182-4F43-A0B7-8E335B212C6C}" name="PivotTable4"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1" firstHeaderRow="1" firstDataRow="1" firstDataCol="1" rowPageCount="1" colPageCount="1"/>
  <pivotFields count="6">
    <pivotField showAll="0"/>
    <pivotField axis="axisRow" showAll="0">
      <items count="25">
        <item x="12"/>
        <item x="17"/>
        <item x="13"/>
        <item x="21"/>
        <item x="16"/>
        <item x="8"/>
        <item x="6"/>
        <item x="1"/>
        <item x="19"/>
        <item x="22"/>
        <item x="4"/>
        <item x="15"/>
        <item x="7"/>
        <item x="3"/>
        <item x="5"/>
        <item x="9"/>
        <item x="2"/>
        <item x="0"/>
        <item x="18"/>
        <item x="11"/>
        <item x="14"/>
        <item x="10"/>
        <item x="20"/>
        <item x="23"/>
        <item t="default"/>
      </items>
    </pivotField>
    <pivotField showAll="0">
      <items count="3">
        <item x="1"/>
        <item x="0"/>
        <item t="default"/>
      </items>
    </pivotField>
    <pivotField showAll="0"/>
    <pivotField axis="axisPage" showAll="0">
      <items count="5">
        <item x="0"/>
        <item x="2"/>
        <item x="1"/>
        <item x="3"/>
        <item t="default"/>
      </items>
    </pivotField>
    <pivotField dataField="1" showAll="0"/>
  </pivotFields>
  <rowFields count="1">
    <field x="1"/>
  </rowFields>
  <rowItems count="8">
    <i>
      <x v="2"/>
    </i>
    <i>
      <x v="8"/>
    </i>
    <i>
      <x v="10"/>
    </i>
    <i>
      <x v="11"/>
    </i>
    <i>
      <x v="13"/>
    </i>
    <i>
      <x v="14"/>
    </i>
    <i>
      <x v="16"/>
    </i>
    <i t="grand">
      <x/>
    </i>
  </rowItems>
  <colItems count="1">
    <i/>
  </colItems>
  <pageFields count="1">
    <pageField fld="4" item="2" hier="-1"/>
  </pageFields>
  <dataFields count="1">
    <dataField name="Sum of Sueldo"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6A84B65-D182-4F43-A0B7-8E335B212C6C}" name="PivotTable3"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rowPageCount="1" colPageCount="1"/>
  <pivotFields count="6">
    <pivotField showAll="0"/>
    <pivotField axis="axisRow" showAll="0">
      <items count="25">
        <item x="12"/>
        <item x="17"/>
        <item x="13"/>
        <item x="21"/>
        <item x="16"/>
        <item x="8"/>
        <item x="6"/>
        <item x="1"/>
        <item x="19"/>
        <item x="22"/>
        <item x="4"/>
        <item x="15"/>
        <item x="7"/>
        <item x="3"/>
        <item x="5"/>
        <item x="9"/>
        <item x="2"/>
        <item x="0"/>
        <item x="18"/>
        <item x="11"/>
        <item x="14"/>
        <item x="10"/>
        <item x="20"/>
        <item x="23"/>
        <item t="default"/>
      </items>
    </pivotField>
    <pivotField showAll="0">
      <items count="3">
        <item x="1"/>
        <item x="0"/>
        <item t="default"/>
      </items>
    </pivotField>
    <pivotField showAll="0"/>
    <pivotField axis="axisPage" showAll="0">
      <items count="5">
        <item x="0"/>
        <item x="2"/>
        <item x="1"/>
        <item x="3"/>
        <item t="default"/>
      </items>
    </pivotField>
    <pivotField dataField="1" showAll="0"/>
  </pivotFields>
  <rowFields count="1">
    <field x="1"/>
  </rowFields>
  <rowItems count="6">
    <i>
      <x/>
    </i>
    <i>
      <x v="4"/>
    </i>
    <i>
      <x v="15"/>
    </i>
    <i>
      <x v="21"/>
    </i>
    <i>
      <x v="22"/>
    </i>
    <i t="grand">
      <x/>
    </i>
  </rowItems>
  <colItems count="1">
    <i/>
  </colItems>
  <pageFields count="1">
    <pageField fld="4" item="3" hier="-1"/>
  </pageFields>
  <dataFields count="1">
    <dataField name="Sum of Sueldo"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6A84B65-D182-4F43-A0B7-8E335B212C6C}" name="PivotTable8"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5" firstHeaderRow="1" firstDataRow="1" firstDataCol="1" rowPageCount="1" colPageCount="1"/>
  <pivotFields count="6">
    <pivotField showAll="0"/>
    <pivotField axis="axisRow" showAll="0">
      <items count="25">
        <item x="12"/>
        <item x="17"/>
        <item x="13"/>
        <item x="21"/>
        <item x="16"/>
        <item x="8"/>
        <item x="6"/>
        <item x="1"/>
        <item x="19"/>
        <item x="22"/>
        <item x="4"/>
        <item x="15"/>
        <item x="7"/>
        <item x="3"/>
        <item x="5"/>
        <item x="9"/>
        <item x="2"/>
        <item x="0"/>
        <item x="18"/>
        <item x="11"/>
        <item x="14"/>
        <item x="10"/>
        <item x="20"/>
        <item x="23"/>
        <item t="default"/>
      </items>
    </pivotField>
    <pivotField axis="axisPage" showAll="0">
      <items count="3">
        <item x="1"/>
        <item x="0"/>
        <item t="default"/>
      </items>
    </pivotField>
    <pivotField showAll="0"/>
    <pivotField multipleItemSelectionAllowed="1" showAll="0">
      <items count="5">
        <item x="0"/>
        <item x="2"/>
        <item x="1"/>
        <item x="3"/>
        <item t="default"/>
      </items>
    </pivotField>
    <pivotField dataField="1" showAll="0"/>
  </pivotFields>
  <rowFields count="1">
    <field x="1"/>
  </rowFields>
  <rowItems count="12">
    <i>
      <x/>
    </i>
    <i>
      <x v="4"/>
    </i>
    <i>
      <x v="9"/>
    </i>
    <i>
      <x v="10"/>
    </i>
    <i>
      <x v="12"/>
    </i>
    <i>
      <x v="13"/>
    </i>
    <i>
      <x v="15"/>
    </i>
    <i>
      <x v="18"/>
    </i>
    <i>
      <x v="20"/>
    </i>
    <i>
      <x v="21"/>
    </i>
    <i>
      <x v="22"/>
    </i>
    <i t="grand">
      <x/>
    </i>
  </rowItems>
  <colItems count="1">
    <i/>
  </colItems>
  <pageFields count="1">
    <pageField fld="2" item="0" hier="-1"/>
  </pageFields>
  <dataFields count="1">
    <dataField name="Sum of Sueldo"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6A84B65-D182-4F43-A0B7-8E335B212C6C}" name="PivotTable7"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7" firstHeaderRow="1" firstDataRow="1" firstDataCol="1" rowPageCount="1" colPageCount="1"/>
  <pivotFields count="6">
    <pivotField showAll="0"/>
    <pivotField axis="axisRow" showAll="0">
      <items count="25">
        <item x="12"/>
        <item x="17"/>
        <item x="13"/>
        <item x="21"/>
        <item x="16"/>
        <item x="8"/>
        <item x="6"/>
        <item x="1"/>
        <item x="19"/>
        <item x="22"/>
        <item x="4"/>
        <item x="15"/>
        <item x="7"/>
        <item x="3"/>
        <item x="5"/>
        <item x="9"/>
        <item x="2"/>
        <item x="0"/>
        <item x="18"/>
        <item x="11"/>
        <item x="14"/>
        <item x="10"/>
        <item x="20"/>
        <item x="23"/>
        <item t="default"/>
      </items>
    </pivotField>
    <pivotField axis="axisPage" showAll="0">
      <items count="3">
        <item x="1"/>
        <item x="0"/>
        <item t="default"/>
      </items>
    </pivotField>
    <pivotField showAll="0"/>
    <pivotField multipleItemSelectionAllowed="1" showAll="0">
      <items count="5">
        <item x="0"/>
        <item x="2"/>
        <item x="1"/>
        <item x="3"/>
        <item t="default"/>
      </items>
    </pivotField>
    <pivotField dataField="1" showAll="0"/>
  </pivotFields>
  <rowFields count="1">
    <field x="1"/>
  </rowFields>
  <rowItems count="14">
    <i>
      <x v="1"/>
    </i>
    <i>
      <x v="2"/>
    </i>
    <i>
      <x v="3"/>
    </i>
    <i>
      <x v="5"/>
    </i>
    <i>
      <x v="6"/>
    </i>
    <i>
      <x v="7"/>
    </i>
    <i>
      <x v="8"/>
    </i>
    <i>
      <x v="11"/>
    </i>
    <i>
      <x v="14"/>
    </i>
    <i>
      <x v="16"/>
    </i>
    <i>
      <x v="17"/>
    </i>
    <i>
      <x v="19"/>
    </i>
    <i>
      <x v="23"/>
    </i>
    <i t="grand">
      <x/>
    </i>
  </rowItems>
  <colItems count="1">
    <i/>
  </colItems>
  <pageFields count="1">
    <pageField fld="2" item="1" hier="-1"/>
  </pageFields>
  <dataFields count="1">
    <dataField name="Sum of Sueldo"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6A84B65-D182-4F43-A0B7-8E335B212C6C}" name="Pivot2"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B29" firstHeaderRow="1" firstDataRow="1" firstDataCol="1" rowPageCount="1" colPageCount="1"/>
  <pivotFields count="6">
    <pivotField showAll="0"/>
    <pivotField axis="axisRow" showAll="0">
      <items count="25">
        <item x="12"/>
        <item x="17"/>
        <item x="13"/>
        <item x="21"/>
        <item x="16"/>
        <item x="8"/>
        <item x="6"/>
        <item x="1"/>
        <item x="19"/>
        <item x="22"/>
        <item x="4"/>
        <item x="15"/>
        <item x="7"/>
        <item x="3"/>
        <item x="5"/>
        <item x="9"/>
        <item x="2"/>
        <item x="0"/>
        <item x="18"/>
        <item x="11"/>
        <item x="14"/>
        <item x="10"/>
        <item x="20"/>
        <item x="23"/>
        <item t="default"/>
      </items>
    </pivotField>
    <pivotField axis="axisPage" showAll="0">
      <items count="3">
        <item x="1"/>
        <item x="0"/>
        <item t="default"/>
      </items>
    </pivotField>
    <pivotField showAll="0"/>
    <pivotField multipleItemSelectionAllowed="1" showAll="0">
      <items count="5">
        <item x="0"/>
        <item x="2"/>
        <item x="1"/>
        <item x="3"/>
        <item t="default"/>
      </items>
    </pivotField>
    <pivotField dataField="1" showAll="0"/>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pageFields count="1">
    <pageField fld="2" hier="-1"/>
  </pageFields>
  <dataFields count="1">
    <dataField name="Sum of Sueldo"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cursal" xr10:uid="{B4AD0566-6644-4015-81E8-6279B0B9A96F}" sourceName="Sucursal">
  <pivotTables>
    <pivotTable tabId="18" name="Pivot1"/>
  </pivotTables>
  <data>
    <tabular pivotCacheId="133540660">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dedor" xr10:uid="{0F130614-2394-4828-84C1-CF544682A85E}" sourceName="Vendedor">
  <pivotTables>
    <pivotTable tabId="18" name="Pivot1"/>
  </pivotTables>
  <data>
    <tabular pivotCacheId="133540660">
      <items count="30">
        <i x="0" s="1"/>
        <i x="1" s="1"/>
        <i x="19" s="1"/>
        <i x="12" s="1"/>
        <i x="2" s="1"/>
        <i x="15" s="1"/>
        <i x="28" s="1"/>
        <i x="20" s="1"/>
        <i x="3" s="1"/>
        <i x="13" s="1"/>
        <i x="4" s="1"/>
        <i x="14" s="1"/>
        <i x="29" s="1"/>
        <i x="18" s="1"/>
        <i x="8" s="1"/>
        <i x="23" s="1"/>
        <i x="16" s="1"/>
        <i x="11" s="1"/>
        <i x="24" s="1"/>
        <i x="17" s="1"/>
        <i x="9" s="1"/>
        <i x="10" s="1"/>
        <i x="22" s="1"/>
        <i x="25" s="1"/>
        <i x="7" s="1"/>
        <i x="5" s="1"/>
        <i x="27" s="1"/>
        <i x="6" s="1"/>
        <i x="26" s="1"/>
        <i x="2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o" xr10:uid="{4A11452C-58B5-4C11-B15A-77B498F86D16}" sourceName="Producto">
  <pivotTables>
    <pivotTable tabId="18" name="Pivot1"/>
  </pivotTables>
  <data>
    <tabular pivotCacheId="133540660">
      <items count="28">
        <i x="14" s="1"/>
        <i x="16" s="1"/>
        <i x="26" s="1"/>
        <i x="15" s="1"/>
        <i x="22" s="1"/>
        <i x="8" s="1"/>
        <i x="0" s="1"/>
        <i x="17" s="1"/>
        <i x="11" s="1"/>
        <i x="7" s="1"/>
        <i x="1" s="1"/>
        <i x="6" s="1"/>
        <i x="24" s="1"/>
        <i x="5" s="1"/>
        <i x="10" s="1"/>
        <i x="25" s="1"/>
        <i x="12" s="1"/>
        <i x="18" s="1"/>
        <i x="19" s="1"/>
        <i x="2" s="1"/>
        <i x="27" s="1"/>
        <i x="9" s="1"/>
        <i x="20" s="1"/>
        <i x="23" s="1"/>
        <i x="4" s="1"/>
        <i x="13" s="1"/>
        <i x="2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cursal" xr10:uid="{BA63AB69-58D4-4091-B0E2-137C8B5A577B}" cache="Slicer_Sucursal" caption="Sucursal" rowHeight="234950"/>
  <slicer name="Vendedor" xr10:uid="{C919B89F-D294-454C-97EF-363843983AEC}" cache="Slicer_Vendedor" caption="Vendedor" rowHeight="234950"/>
  <slicer name="Producto" xr10:uid="{BB6E396B-D94F-4969-8220-A696610E5529}" cache="Slicer_Producto" caption="Producto" startItem="2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0CDE52-86FE-4F89-A6BD-70997E550C08}" name="Table1" displayName="Table1" ref="A1:D31" totalsRowShown="0" headerRowDxfId="2">
  <autoFilter ref="A1:D31" xr:uid="{BD0CDE52-86FE-4F89-A6BD-70997E550C08}"/>
  <tableColumns count="4">
    <tableColumn id="1" xr3:uid="{8F830BF0-E0F2-4B12-9C7A-D79031A64DE9}" name="Sucursal"/>
    <tableColumn id="2" xr3:uid="{72ED4F6A-CC1A-4FC2-8B5F-BA94E882656C}" name="Vendedor"/>
    <tableColumn id="3" xr3:uid="{DF5D9482-E36A-4F9B-83D0-AE91B9E92BCC}" name="Producto"/>
    <tableColumn id="4" xr3:uid="{7A3750FF-143E-497F-804C-0EA3382DEB58}" name="Venta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2.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2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7526C-63EF-4A09-BF7A-3CE1A17BEC30}">
  <sheetPr>
    <tabColor theme="4"/>
  </sheetPr>
  <dimension ref="A1:E26"/>
  <sheetViews>
    <sheetView workbookViewId="0">
      <selection activeCell="C17" sqref="C17"/>
    </sheetView>
  </sheetViews>
  <sheetFormatPr defaultRowHeight="14.4" x14ac:dyDescent="0.3"/>
  <cols>
    <col min="1" max="1" width="21.77734375" bestFit="1" customWidth="1"/>
    <col min="2" max="3" width="14.77734375" bestFit="1" customWidth="1"/>
  </cols>
  <sheetData>
    <row r="1" spans="1:5" ht="15.6" x14ac:dyDescent="0.3">
      <c r="A1" s="84" t="s">
        <v>0</v>
      </c>
      <c r="B1" s="84"/>
      <c r="C1" s="84"/>
      <c r="D1" s="1"/>
      <c r="E1" s="1"/>
    </row>
    <row r="2" spans="1:5" x14ac:dyDescent="0.3">
      <c r="A2" s="1"/>
      <c r="B2" s="1"/>
      <c r="C2" s="1"/>
      <c r="D2" s="1"/>
      <c r="E2" s="1"/>
    </row>
    <row r="3" spans="1:5" ht="15" thickBot="1" x14ac:dyDescent="0.35">
      <c r="A3" s="86" t="s">
        <v>1</v>
      </c>
      <c r="B3" s="86" t="s">
        <v>2</v>
      </c>
      <c r="C3" s="86" t="s">
        <v>3</v>
      </c>
      <c r="D3" s="1"/>
      <c r="E3" s="1"/>
    </row>
    <row r="4" spans="1:5" ht="15" thickTop="1" x14ac:dyDescent="0.3">
      <c r="A4" s="5" t="s">
        <v>4</v>
      </c>
      <c r="B4" s="85">
        <v>12000</v>
      </c>
      <c r="C4" s="85"/>
      <c r="D4" s="1"/>
      <c r="E4" s="1"/>
    </row>
    <row r="5" spans="1:5" x14ac:dyDescent="0.3">
      <c r="A5" s="5" t="s">
        <v>5</v>
      </c>
      <c r="B5" s="85">
        <v>4000</v>
      </c>
      <c r="C5" s="85"/>
      <c r="D5" s="1"/>
      <c r="E5" s="1"/>
    </row>
    <row r="6" spans="1:5" x14ac:dyDescent="0.3">
      <c r="A6" s="5" t="s">
        <v>6</v>
      </c>
      <c r="B6" s="85">
        <v>6000</v>
      </c>
      <c r="C6" s="85"/>
      <c r="D6" s="1"/>
      <c r="E6" s="1"/>
    </row>
    <row r="7" spans="1:5" x14ac:dyDescent="0.3">
      <c r="A7" s="5" t="s">
        <v>7</v>
      </c>
      <c r="B7" s="85"/>
      <c r="C7" s="85">
        <v>400</v>
      </c>
      <c r="D7" s="1"/>
      <c r="E7" s="1"/>
    </row>
    <row r="8" spans="1:5" x14ac:dyDescent="0.3">
      <c r="A8" s="5" t="s">
        <v>8</v>
      </c>
      <c r="B8" s="85"/>
      <c r="C8" s="85">
        <v>200</v>
      </c>
      <c r="D8" s="1"/>
      <c r="E8" s="1"/>
    </row>
    <row r="9" spans="1:5" x14ac:dyDescent="0.3">
      <c r="A9" s="5" t="s">
        <v>9</v>
      </c>
      <c r="B9" s="85"/>
      <c r="C9" s="85">
        <v>100</v>
      </c>
      <c r="D9" s="1"/>
      <c r="E9" s="1"/>
    </row>
    <row r="10" spans="1:5" x14ac:dyDescent="0.3">
      <c r="A10" s="5" t="s">
        <v>10</v>
      </c>
      <c r="B10" s="85"/>
      <c r="C10" s="85">
        <v>650</v>
      </c>
      <c r="D10" s="1"/>
      <c r="E10" s="1"/>
    </row>
    <row r="11" spans="1:5" x14ac:dyDescent="0.3">
      <c r="A11" s="5" t="s">
        <v>11</v>
      </c>
      <c r="B11" s="85"/>
      <c r="C11" s="85">
        <v>350</v>
      </c>
      <c r="D11" s="1"/>
      <c r="E11" s="1"/>
    </row>
    <row r="12" spans="1:5" x14ac:dyDescent="0.3">
      <c r="A12" s="5" t="s">
        <v>12</v>
      </c>
      <c r="B12" s="85"/>
      <c r="C12" s="85">
        <v>2000</v>
      </c>
      <c r="D12" s="1"/>
      <c r="E12" s="1"/>
    </row>
    <row r="13" spans="1:5" x14ac:dyDescent="0.3">
      <c r="A13" s="5" t="s">
        <v>13</v>
      </c>
      <c r="B13" s="85"/>
      <c r="C13" s="85">
        <v>300</v>
      </c>
      <c r="D13" s="1"/>
      <c r="E13" s="1"/>
    </row>
    <row r="14" spans="1:5" x14ac:dyDescent="0.3">
      <c r="A14" s="5" t="s">
        <v>14</v>
      </c>
      <c r="B14" s="85"/>
      <c r="C14" s="85">
        <v>1500</v>
      </c>
      <c r="D14" s="1"/>
      <c r="E14" s="1"/>
    </row>
    <row r="15" spans="1:5" x14ac:dyDescent="0.3">
      <c r="A15" s="5" t="s">
        <v>15</v>
      </c>
      <c r="B15" s="85"/>
      <c r="C15" s="85">
        <v>5000</v>
      </c>
      <c r="D15" s="1"/>
      <c r="E15" s="1"/>
    </row>
    <row r="16" spans="1:5" x14ac:dyDescent="0.3">
      <c r="A16" s="5" t="s">
        <v>16</v>
      </c>
      <c r="B16" s="85"/>
      <c r="C16" s="85">
        <v>600</v>
      </c>
      <c r="D16" s="1"/>
      <c r="E16" s="1"/>
    </row>
    <row r="17" spans="1:5" x14ac:dyDescent="0.3">
      <c r="A17" s="5" t="s">
        <v>17</v>
      </c>
      <c r="B17" s="85"/>
      <c r="C17" s="85">
        <v>3000</v>
      </c>
      <c r="D17" s="1"/>
      <c r="E17" s="1"/>
    </row>
    <row r="18" spans="1:5" x14ac:dyDescent="0.3">
      <c r="A18" s="13" t="s">
        <v>18</v>
      </c>
      <c r="B18" s="88">
        <f>SUM(B4:B17)</f>
        <v>22000</v>
      </c>
      <c r="C18" s="87">
        <f>SUM(C7:C17)</f>
        <v>14100</v>
      </c>
      <c r="D18" s="1"/>
      <c r="E18" s="1"/>
    </row>
    <row r="19" spans="1:5" x14ac:dyDescent="0.3">
      <c r="A19" s="13" t="s">
        <v>19</v>
      </c>
      <c r="B19" s="12"/>
      <c r="C19" s="12">
        <f>B18-C18</f>
        <v>7900</v>
      </c>
      <c r="D19" s="1"/>
      <c r="E19" s="1"/>
    </row>
    <row r="20" spans="1:5" x14ac:dyDescent="0.3">
      <c r="A20" s="13" t="s">
        <v>20</v>
      </c>
      <c r="B20" s="1"/>
      <c r="C20" s="14">
        <v>0.1</v>
      </c>
      <c r="D20" s="1"/>
      <c r="E20" s="1"/>
    </row>
    <row r="21" spans="1:5" x14ac:dyDescent="0.3">
      <c r="A21" s="13" t="s">
        <v>21</v>
      </c>
      <c r="B21" s="1"/>
      <c r="C21" s="12">
        <f>C19-C19*C20</f>
        <v>7110</v>
      </c>
      <c r="D21" s="1"/>
      <c r="E21" s="1"/>
    </row>
    <row r="22" spans="1:5" x14ac:dyDescent="0.3">
      <c r="A22" s="1"/>
      <c r="B22" s="1"/>
      <c r="C22" s="1"/>
      <c r="D22" s="1"/>
      <c r="E22" s="1"/>
    </row>
    <row r="23" spans="1:5" x14ac:dyDescent="0.3">
      <c r="A23" s="1"/>
      <c r="B23" s="1"/>
      <c r="C23" s="1"/>
      <c r="D23" s="1"/>
      <c r="E23" s="1"/>
    </row>
    <row r="24" spans="1:5" x14ac:dyDescent="0.3">
      <c r="A24" s="1"/>
      <c r="B24" s="1"/>
      <c r="C24" s="1"/>
      <c r="D24" s="1"/>
      <c r="E24" s="1"/>
    </row>
    <row r="25" spans="1:5" x14ac:dyDescent="0.3">
      <c r="A25" s="1"/>
      <c r="B25" s="1"/>
      <c r="C25" s="1"/>
      <c r="D25" s="1"/>
      <c r="E25" s="1"/>
    </row>
    <row r="26" spans="1:5" x14ac:dyDescent="0.3">
      <c r="A26" s="1"/>
      <c r="B26" s="1"/>
      <c r="C26" s="1"/>
      <c r="D26" s="1"/>
      <c r="E26" s="1"/>
    </row>
  </sheetData>
  <mergeCells count="1">
    <mergeCell ref="A1:C1"/>
  </mergeCells>
  <conditionalFormatting sqref="C7:C17">
    <cfRule type="dataBar" priority="2">
      <dataBar>
        <cfvo type="min"/>
        <cfvo type="max"/>
        <color rgb="FFFF555A"/>
      </dataBar>
      <extLst>
        <ext xmlns:x14="http://schemas.microsoft.com/office/spreadsheetml/2009/9/main" uri="{B025F937-C7B1-47D3-B67F-A62EFF666E3E}">
          <x14:id>{A3148EEB-4AA9-4072-9293-9A4001572457}</x14:id>
        </ext>
      </extLst>
    </cfRule>
  </conditionalFormatting>
  <conditionalFormatting sqref="B4:B6">
    <cfRule type="dataBar" priority="1">
      <dataBar>
        <cfvo type="min"/>
        <cfvo type="max"/>
        <color rgb="FF63C384"/>
      </dataBar>
      <extLst>
        <ext xmlns:x14="http://schemas.microsoft.com/office/spreadsheetml/2009/9/main" uri="{B025F937-C7B1-47D3-B67F-A62EFF666E3E}">
          <x14:id>{DD712278-0127-462F-9FB2-4D4E9A4481A7}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3148EEB-4AA9-4072-9293-9A4001572457}">
            <x14:dataBar minLength="0" maxLength="100" border="1" negativeBarBorderColorSameAsPositive="0">
              <x14:cfvo type="autoMin"/>
              <x14:cfvo type="autoMax"/>
              <x14:borderColor rgb="FFFF555A"/>
              <x14:negativeFillColor rgb="FFFF0000"/>
              <x14:negativeBorderColor rgb="FFFF0000"/>
              <x14:axisColor rgb="FF000000"/>
            </x14:dataBar>
          </x14:cfRule>
          <xm:sqref>C7:C17</xm:sqref>
        </x14:conditionalFormatting>
        <x14:conditionalFormatting xmlns:xm="http://schemas.microsoft.com/office/excel/2006/main">
          <x14:cfRule type="dataBar" id="{DD712278-0127-462F-9FB2-4D4E9A4481A7}">
            <x14:dataBar minLength="0" maxLength="100" border="1" negativeBarBorderColorSameAsPositive="0">
              <x14:cfvo type="autoMin"/>
              <x14:cfvo type="autoMax"/>
              <x14:borderColor rgb="FF63C384"/>
              <x14:negativeFillColor rgb="FFFF0000"/>
              <x14:negativeBorderColor rgb="FFFF0000"/>
              <x14:axisColor rgb="FF000000"/>
            </x14:dataBar>
          </x14:cfRule>
          <xm:sqref>B4:B6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32B0F-E301-4613-876C-9996E1B47589}">
  <sheetPr>
    <tabColor theme="3"/>
  </sheetPr>
  <dimension ref="A1:H20"/>
  <sheetViews>
    <sheetView workbookViewId="0">
      <selection activeCell="D27" sqref="D27:D28"/>
    </sheetView>
  </sheetViews>
  <sheetFormatPr defaultRowHeight="14.4" x14ac:dyDescent="0.3"/>
  <cols>
    <col min="1" max="1" width="11.21875" bestFit="1" customWidth="1"/>
    <col min="2" max="2" width="11.5546875" bestFit="1" customWidth="1"/>
    <col min="3" max="3" width="16.6640625" bestFit="1" customWidth="1"/>
    <col min="4" max="4" width="15.21875" bestFit="1" customWidth="1"/>
    <col min="5" max="6" width="9.88671875" bestFit="1" customWidth="1"/>
    <col min="7" max="7" width="13.44140625" bestFit="1" customWidth="1"/>
  </cols>
  <sheetData>
    <row r="1" spans="1:8" ht="15.6" x14ac:dyDescent="0.3">
      <c r="A1" s="73" t="s">
        <v>22</v>
      </c>
      <c r="B1" s="73"/>
      <c r="C1" s="73"/>
      <c r="D1" s="1"/>
      <c r="E1" s="1"/>
      <c r="F1" s="1"/>
      <c r="G1" s="1"/>
      <c r="H1" s="1"/>
    </row>
    <row r="2" spans="1:8" x14ac:dyDescent="0.3">
      <c r="A2" s="1"/>
      <c r="B2" s="1"/>
      <c r="C2" s="1"/>
      <c r="D2" s="1"/>
      <c r="E2" s="1"/>
      <c r="F2" s="1"/>
      <c r="G2" s="1"/>
      <c r="H2" s="1"/>
    </row>
    <row r="3" spans="1:8" x14ac:dyDescent="0.3">
      <c r="A3" s="2" t="s">
        <v>23</v>
      </c>
      <c r="B3" s="2" t="s">
        <v>24</v>
      </c>
      <c r="C3" s="2" t="s">
        <v>25</v>
      </c>
      <c r="D3" s="2" t="s">
        <v>26</v>
      </c>
      <c r="E3" s="2" t="s">
        <v>27</v>
      </c>
      <c r="F3" s="2" t="s">
        <v>28</v>
      </c>
      <c r="G3" s="2" t="s">
        <v>29</v>
      </c>
      <c r="H3" s="1"/>
    </row>
    <row r="4" spans="1:8" x14ac:dyDescent="0.3">
      <c r="A4" s="3" t="s">
        <v>30</v>
      </c>
      <c r="B4" s="11" t="s">
        <v>46</v>
      </c>
      <c r="C4" s="4">
        <v>1</v>
      </c>
      <c r="D4" s="4">
        <v>34</v>
      </c>
      <c r="E4" s="4" t="s">
        <v>31</v>
      </c>
      <c r="F4" s="4" t="s">
        <v>32</v>
      </c>
      <c r="G4" s="8">
        <v>51000</v>
      </c>
      <c r="H4" s="1"/>
    </row>
    <row r="5" spans="1:8" x14ac:dyDescent="0.3">
      <c r="A5" s="3" t="s">
        <v>33</v>
      </c>
      <c r="B5" s="10" t="s">
        <v>45</v>
      </c>
      <c r="C5" s="4">
        <v>2</v>
      </c>
      <c r="D5" s="4">
        <v>23</v>
      </c>
      <c r="E5" s="4" t="s">
        <v>31</v>
      </c>
      <c r="F5" s="4" t="s">
        <v>32</v>
      </c>
      <c r="G5" s="8">
        <v>34500</v>
      </c>
      <c r="H5" s="1"/>
    </row>
    <row r="6" spans="1:8" x14ac:dyDescent="0.3">
      <c r="A6" s="3" t="s">
        <v>34</v>
      </c>
      <c r="B6" s="11" t="s">
        <v>46</v>
      </c>
      <c r="C6" s="4">
        <v>3</v>
      </c>
      <c r="D6" s="4">
        <v>65</v>
      </c>
      <c r="E6" s="4" t="s">
        <v>31</v>
      </c>
      <c r="F6" s="4" t="s">
        <v>35</v>
      </c>
      <c r="G6" s="8">
        <v>87750</v>
      </c>
      <c r="H6" s="1"/>
    </row>
    <row r="7" spans="1:8" x14ac:dyDescent="0.3">
      <c r="A7" s="3" t="s">
        <v>36</v>
      </c>
      <c r="B7" s="10" t="s">
        <v>37</v>
      </c>
      <c r="C7" s="4">
        <v>4</v>
      </c>
      <c r="D7" s="4">
        <v>23</v>
      </c>
      <c r="E7" s="4" t="s">
        <v>31</v>
      </c>
      <c r="F7" s="4" t="s">
        <v>38</v>
      </c>
      <c r="G7" s="8">
        <v>31050</v>
      </c>
      <c r="H7" s="1"/>
    </row>
    <row r="8" spans="1:8" x14ac:dyDescent="0.3">
      <c r="A8" s="3" t="s">
        <v>39</v>
      </c>
      <c r="B8" s="10" t="s">
        <v>45</v>
      </c>
      <c r="C8" s="4">
        <v>2</v>
      </c>
      <c r="D8" s="4">
        <v>22</v>
      </c>
      <c r="E8" s="4" t="s">
        <v>40</v>
      </c>
      <c r="F8" s="4" t="s">
        <v>32</v>
      </c>
      <c r="G8" s="8">
        <v>39600</v>
      </c>
      <c r="H8" s="1"/>
    </row>
    <row r="9" spans="1:8" x14ac:dyDescent="0.3">
      <c r="A9" s="3" t="s">
        <v>41</v>
      </c>
      <c r="B9" s="11" t="s">
        <v>46</v>
      </c>
      <c r="C9" s="4">
        <v>2</v>
      </c>
      <c r="D9" s="4">
        <v>33</v>
      </c>
      <c r="E9" s="4" t="s">
        <v>42</v>
      </c>
      <c r="F9" s="4" t="s">
        <v>32</v>
      </c>
      <c r="G9" s="8">
        <v>66000</v>
      </c>
      <c r="H9" s="1"/>
    </row>
    <row r="10" spans="1:8" x14ac:dyDescent="0.3">
      <c r="A10" s="1"/>
      <c r="B10" s="1"/>
      <c r="C10" s="1"/>
      <c r="D10" s="1"/>
      <c r="E10" s="1"/>
      <c r="F10" s="1"/>
      <c r="G10" s="1"/>
      <c r="H10" s="1"/>
    </row>
    <row r="11" spans="1:8" x14ac:dyDescent="0.3">
      <c r="A11" s="1"/>
      <c r="B11" s="1"/>
      <c r="C11" s="1"/>
      <c r="D11" s="1"/>
      <c r="E11" s="1"/>
      <c r="F11" s="1"/>
      <c r="G11" s="1"/>
      <c r="H11" s="1"/>
    </row>
    <row r="12" spans="1:8" x14ac:dyDescent="0.3">
      <c r="A12" s="7" t="s">
        <v>43</v>
      </c>
      <c r="B12" s="1" t="s">
        <v>45</v>
      </c>
      <c r="C12" s="1">
        <f>COUNTIF(B4:B9, B12)</f>
        <v>2</v>
      </c>
      <c r="D12" s="1"/>
      <c r="E12" s="1"/>
      <c r="F12" s="1"/>
      <c r="G12" s="9"/>
      <c r="H12" s="1"/>
    </row>
    <row r="13" spans="1:8" x14ac:dyDescent="0.3">
      <c r="A13" s="1"/>
      <c r="B13" s="1"/>
      <c r="C13" s="1"/>
      <c r="D13" s="1"/>
      <c r="E13" s="1"/>
      <c r="F13" s="1"/>
      <c r="G13" s="9"/>
      <c r="H13" s="1"/>
    </row>
    <row r="14" spans="1:8" x14ac:dyDescent="0.3">
      <c r="A14" s="1"/>
      <c r="B14" s="1"/>
      <c r="C14" s="1"/>
      <c r="D14" s="1"/>
      <c r="E14" s="1"/>
      <c r="F14" s="1"/>
      <c r="G14" s="9"/>
      <c r="H14" s="1"/>
    </row>
    <row r="15" spans="1:8" x14ac:dyDescent="0.3">
      <c r="A15" s="6" t="s">
        <v>44</v>
      </c>
      <c r="B15" s="1" t="s">
        <v>46</v>
      </c>
      <c r="C15" s="12">
        <f>SUMIF(B4:B9,B15,G4:G9)</f>
        <v>204750</v>
      </c>
      <c r="D15" s="1"/>
      <c r="E15" s="1"/>
      <c r="F15" s="1"/>
      <c r="G15" s="9"/>
      <c r="H15" s="1"/>
    </row>
    <row r="16" spans="1:8" x14ac:dyDescent="0.3">
      <c r="A16" s="1"/>
      <c r="B16" s="1"/>
      <c r="C16" s="1"/>
      <c r="D16" s="1"/>
      <c r="E16" s="1"/>
      <c r="F16" s="1"/>
      <c r="G16" s="9"/>
      <c r="H16" s="1"/>
    </row>
    <row r="17" spans="1:8" x14ac:dyDescent="0.3">
      <c r="A17" s="1"/>
      <c r="B17" s="1"/>
      <c r="C17" s="1"/>
      <c r="D17" s="1"/>
      <c r="E17" s="1"/>
      <c r="F17" s="1"/>
      <c r="G17" s="9"/>
      <c r="H17" s="1"/>
    </row>
    <row r="18" spans="1:8" x14ac:dyDescent="0.3">
      <c r="A18" s="1"/>
      <c r="B18" s="1"/>
      <c r="C18" s="1"/>
      <c r="D18" s="1"/>
      <c r="E18" s="1"/>
      <c r="F18" s="1"/>
      <c r="G18" s="1"/>
      <c r="H18" s="1"/>
    </row>
    <row r="19" spans="1:8" x14ac:dyDescent="0.3">
      <c r="A19" s="1"/>
      <c r="B19" s="1"/>
      <c r="C19" s="1"/>
      <c r="D19" s="1"/>
      <c r="E19" s="1"/>
      <c r="F19" s="1"/>
      <c r="G19" s="1"/>
      <c r="H19" s="1"/>
    </row>
    <row r="20" spans="1:8" x14ac:dyDescent="0.3">
      <c r="A20" s="1"/>
      <c r="B20" s="1"/>
      <c r="C20" s="1"/>
      <c r="D20" s="1"/>
      <c r="E20" s="1"/>
      <c r="F20" s="1"/>
      <c r="G20" s="1"/>
      <c r="H20" s="1"/>
    </row>
  </sheetData>
  <mergeCells count="1">
    <mergeCell ref="A1:C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0C7EF-09B9-47ED-87C3-C67F5A43E77B}">
  <sheetPr>
    <tabColor theme="9"/>
  </sheetPr>
  <dimension ref="A2:G9"/>
  <sheetViews>
    <sheetView workbookViewId="0">
      <selection activeCell="D7" sqref="D7"/>
    </sheetView>
  </sheetViews>
  <sheetFormatPr defaultRowHeight="14.4" x14ac:dyDescent="0.3"/>
  <cols>
    <col min="1" max="1" width="7.88671875" bestFit="1" customWidth="1"/>
    <col min="2" max="2" width="7.77734375" bestFit="1" customWidth="1"/>
    <col min="3" max="4" width="11" bestFit="1" customWidth="1"/>
  </cols>
  <sheetData>
    <row r="2" spans="1:7" x14ac:dyDescent="0.3">
      <c r="A2" s="1"/>
      <c r="B2" s="1"/>
      <c r="C2" s="1"/>
      <c r="D2" s="1"/>
      <c r="E2" s="1"/>
      <c r="F2" s="1"/>
      <c r="G2" s="1"/>
    </row>
    <row r="3" spans="1:7" x14ac:dyDescent="0.3">
      <c r="A3" s="15" t="s">
        <v>47</v>
      </c>
      <c r="B3" s="15" t="s">
        <v>48</v>
      </c>
      <c r="C3" s="15" t="s">
        <v>49</v>
      </c>
      <c r="D3" s="15" t="s">
        <v>50</v>
      </c>
      <c r="E3" s="1"/>
      <c r="F3" s="1"/>
      <c r="G3" s="1"/>
    </row>
    <row r="4" spans="1:7" x14ac:dyDescent="0.3">
      <c r="A4" s="16">
        <v>10</v>
      </c>
      <c r="B4" s="16">
        <v>12</v>
      </c>
      <c r="C4" s="17" t="b">
        <f>A4=B4</f>
        <v>0</v>
      </c>
      <c r="D4" s="18" t="str">
        <f>IF(A4=B4, "Verdadero", "Falso")</f>
        <v>Falso</v>
      </c>
      <c r="E4" s="1"/>
      <c r="F4" s="1"/>
      <c r="G4" s="1"/>
    </row>
    <row r="5" spans="1:7" x14ac:dyDescent="0.3">
      <c r="A5" s="16">
        <v>20</v>
      </c>
      <c r="B5" s="16">
        <v>6</v>
      </c>
      <c r="C5" s="19" t="b">
        <f>A5&gt;B5</f>
        <v>1</v>
      </c>
      <c r="D5" s="20" t="str">
        <f>IF(A5&gt;=B5, "Verdadero", "Falso")</f>
        <v>Verdadero</v>
      </c>
      <c r="E5" s="1"/>
      <c r="F5" s="1"/>
      <c r="G5" s="1"/>
    </row>
    <row r="6" spans="1:7" x14ac:dyDescent="0.3">
      <c r="A6" s="16">
        <v>30</v>
      </c>
      <c r="B6" s="16">
        <v>12</v>
      </c>
      <c r="C6" s="17" t="b">
        <f>B6&gt;A6</f>
        <v>0</v>
      </c>
      <c r="D6" s="18" t="str">
        <f>IF(A6&lt;=B6, "Verdadero", "Falso")</f>
        <v>Falso</v>
      </c>
      <c r="E6" s="1"/>
      <c r="F6" s="1"/>
      <c r="G6" s="1"/>
    </row>
    <row r="7" spans="1:7" x14ac:dyDescent="0.3">
      <c r="A7" s="16">
        <v>40</v>
      </c>
      <c r="B7" s="16">
        <v>16</v>
      </c>
      <c r="C7" s="19" t="b">
        <f>A7&lt;&gt;B7</f>
        <v>1</v>
      </c>
      <c r="D7" s="20" t="str">
        <f>IF(A7&lt;&gt;B7, "Verdadero", "Falso")</f>
        <v>Verdadero</v>
      </c>
      <c r="E7" s="1"/>
      <c r="F7" s="1"/>
      <c r="G7" s="1"/>
    </row>
    <row r="8" spans="1:7" x14ac:dyDescent="0.3">
      <c r="A8" s="1"/>
      <c r="B8" s="1"/>
      <c r="C8" s="1"/>
      <c r="D8" s="1"/>
      <c r="E8" s="1"/>
      <c r="F8" s="1"/>
      <c r="G8" s="1"/>
    </row>
    <row r="9" spans="1:7" x14ac:dyDescent="0.3">
      <c r="A9" s="1"/>
      <c r="B9" s="1"/>
      <c r="C9" s="1"/>
      <c r="D9" s="1"/>
      <c r="E9" s="1"/>
      <c r="F9" s="1"/>
      <c r="G9" s="1"/>
    </row>
  </sheetData>
  <pageMargins left="0.7" right="0.7" top="0.75" bottom="0.75" header="0.3" footer="0.3"/>
  <ignoredErrors>
    <ignoredError sqref="D5"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82813-5EDA-497C-BDDB-FCDC61873BB0}">
  <sheetPr>
    <tabColor rgb="FFC00000"/>
  </sheetPr>
  <dimension ref="A1:J16"/>
  <sheetViews>
    <sheetView workbookViewId="0">
      <selection activeCell="F18" sqref="F18"/>
    </sheetView>
  </sheetViews>
  <sheetFormatPr defaultRowHeight="14.4" x14ac:dyDescent="0.3"/>
  <cols>
    <col min="2" max="2" width="7.21875" bestFit="1" customWidth="1"/>
    <col min="3" max="3" width="16.6640625" bestFit="1" customWidth="1"/>
    <col min="4" max="4" width="5.21875" bestFit="1" customWidth="1"/>
    <col min="5" max="5" width="10.33203125" customWidth="1"/>
    <col min="8" max="8" width="16.5546875" bestFit="1" customWidth="1"/>
  </cols>
  <sheetData>
    <row r="1" spans="1:10" x14ac:dyDescent="0.3">
      <c r="A1" s="1"/>
      <c r="B1" s="1"/>
      <c r="C1" s="1"/>
      <c r="D1" s="1"/>
      <c r="E1" s="1"/>
      <c r="F1" s="1"/>
      <c r="G1" s="1"/>
      <c r="H1" s="1"/>
      <c r="I1" s="1"/>
      <c r="J1" s="1"/>
    </row>
    <row r="2" spans="1:10" x14ac:dyDescent="0.3">
      <c r="A2" s="1"/>
      <c r="B2" s="1"/>
      <c r="C2" s="1"/>
      <c r="D2" s="1"/>
      <c r="E2" s="1"/>
      <c r="F2" s="1"/>
      <c r="G2" s="1"/>
      <c r="H2" s="1"/>
      <c r="I2" s="1"/>
      <c r="J2" s="1"/>
    </row>
    <row r="3" spans="1:10" x14ac:dyDescent="0.3">
      <c r="A3" s="1"/>
      <c r="B3" s="22" t="s">
        <v>51</v>
      </c>
      <c r="C3" s="22" t="s">
        <v>52</v>
      </c>
      <c r="D3" s="23" t="s">
        <v>53</v>
      </c>
      <c r="E3" s="23" t="s">
        <v>4</v>
      </c>
      <c r="F3" s="1"/>
      <c r="G3" s="21" t="s">
        <v>83</v>
      </c>
      <c r="H3" s="21" t="s">
        <v>84</v>
      </c>
      <c r="I3" s="1"/>
      <c r="J3" s="1"/>
    </row>
    <row r="4" spans="1:10" x14ac:dyDescent="0.3">
      <c r="A4" s="1"/>
      <c r="B4" s="3" t="s">
        <v>54</v>
      </c>
      <c r="C4" s="3" t="s">
        <v>55</v>
      </c>
      <c r="D4" s="24">
        <v>25</v>
      </c>
      <c r="E4" s="25" t="s">
        <v>56</v>
      </c>
      <c r="F4" s="1"/>
      <c r="G4" s="31" t="s">
        <v>54</v>
      </c>
      <c r="H4" s="32" t="str">
        <f>LOOKUP(G4,B4:B13,C4:C13)</f>
        <v>Juan Perez</v>
      </c>
      <c r="I4" s="1"/>
      <c r="J4" s="1"/>
    </row>
    <row r="5" spans="1:10" x14ac:dyDescent="0.3">
      <c r="A5" s="1"/>
      <c r="B5" s="3" t="s">
        <v>57</v>
      </c>
      <c r="C5" s="3" t="s">
        <v>58</v>
      </c>
      <c r="D5" s="24">
        <v>45</v>
      </c>
      <c r="E5" s="25" t="s">
        <v>59</v>
      </c>
      <c r="F5" s="1"/>
      <c r="G5" s="33" t="s">
        <v>57</v>
      </c>
      <c r="H5" s="34" t="str">
        <f>LOOKUP(G5,B5:B14,C5:C14)</f>
        <v>Andres Sanchez</v>
      </c>
      <c r="I5" s="1"/>
      <c r="J5" s="1"/>
    </row>
    <row r="6" spans="1:10" x14ac:dyDescent="0.3">
      <c r="A6" s="1"/>
      <c r="B6" s="3" t="s">
        <v>60</v>
      </c>
      <c r="C6" s="3" t="s">
        <v>61</v>
      </c>
      <c r="D6" s="24">
        <v>34</v>
      </c>
      <c r="E6" s="25" t="s">
        <v>62</v>
      </c>
      <c r="F6" s="1"/>
      <c r="G6" s="31" t="s">
        <v>60</v>
      </c>
      <c r="H6" s="32" t="str">
        <f t="shared" ref="H6:H14" si="0">LOOKUP(G6,B6:B15,C6:C15)</f>
        <v>Mario Gonzalez</v>
      </c>
      <c r="I6" s="1"/>
      <c r="J6" s="1"/>
    </row>
    <row r="7" spans="1:10" x14ac:dyDescent="0.3">
      <c r="A7" s="1"/>
      <c r="B7" s="3" t="s">
        <v>63</v>
      </c>
      <c r="C7" s="3" t="s">
        <v>64</v>
      </c>
      <c r="D7" s="24">
        <v>34</v>
      </c>
      <c r="E7" s="25" t="s">
        <v>62</v>
      </c>
      <c r="F7" s="1"/>
      <c r="G7" s="33" t="s">
        <v>63</v>
      </c>
      <c r="H7" s="34" t="str">
        <f t="shared" si="0"/>
        <v>María Dominguez</v>
      </c>
      <c r="I7" s="1"/>
      <c r="J7" s="1"/>
    </row>
    <row r="8" spans="1:10" x14ac:dyDescent="0.3">
      <c r="A8" s="1"/>
      <c r="B8" s="3" t="s">
        <v>65</v>
      </c>
      <c r="C8" s="3" t="s">
        <v>66</v>
      </c>
      <c r="D8" s="24">
        <v>23</v>
      </c>
      <c r="E8" s="25" t="s">
        <v>67</v>
      </c>
      <c r="F8" s="1"/>
      <c r="G8" s="31" t="s">
        <v>65</v>
      </c>
      <c r="H8" s="32" t="str">
        <f t="shared" si="0"/>
        <v>Juana Velez</v>
      </c>
      <c r="I8" s="1"/>
      <c r="J8" s="1"/>
    </row>
    <row r="9" spans="1:10" x14ac:dyDescent="0.3">
      <c r="A9" s="1"/>
      <c r="B9" s="3" t="s">
        <v>68</v>
      </c>
      <c r="C9" s="3" t="s">
        <v>69</v>
      </c>
      <c r="D9" s="24">
        <v>54</v>
      </c>
      <c r="E9" s="25" t="s">
        <v>70</v>
      </c>
      <c r="F9" s="1"/>
      <c r="G9" s="33" t="s">
        <v>68</v>
      </c>
      <c r="H9" s="34" t="str">
        <f t="shared" si="0"/>
        <v>Pedro Urdiales</v>
      </c>
      <c r="I9" s="1"/>
      <c r="J9" s="1"/>
    </row>
    <row r="10" spans="1:10" x14ac:dyDescent="0.3">
      <c r="A10" s="1"/>
      <c r="B10" s="3" t="s">
        <v>71</v>
      </c>
      <c r="C10" s="3" t="s">
        <v>72</v>
      </c>
      <c r="D10" s="24">
        <v>47</v>
      </c>
      <c r="E10" s="25" t="s">
        <v>73</v>
      </c>
      <c r="F10" s="1"/>
      <c r="G10" s="31" t="s">
        <v>71</v>
      </c>
      <c r="H10" s="32" t="str">
        <f t="shared" si="0"/>
        <v>Samanta Loja</v>
      </c>
      <c r="I10" s="1"/>
      <c r="J10" s="1"/>
    </row>
    <row r="11" spans="1:10" x14ac:dyDescent="0.3">
      <c r="A11" s="1"/>
      <c r="B11" s="3" t="s">
        <v>74</v>
      </c>
      <c r="C11" s="3" t="s">
        <v>75</v>
      </c>
      <c r="D11" s="24">
        <v>42</v>
      </c>
      <c r="E11" s="25" t="s">
        <v>76</v>
      </c>
      <c r="F11" s="1"/>
      <c r="G11" s="33" t="s">
        <v>74</v>
      </c>
      <c r="H11" s="34" t="str">
        <f t="shared" si="0"/>
        <v>Melina Lima</v>
      </c>
      <c r="I11" s="1"/>
      <c r="J11" s="1"/>
    </row>
    <row r="12" spans="1:10" x14ac:dyDescent="0.3">
      <c r="A12" s="1"/>
      <c r="B12" s="3" t="s">
        <v>77</v>
      </c>
      <c r="C12" s="3" t="s">
        <v>78</v>
      </c>
      <c r="D12" s="24">
        <v>37</v>
      </c>
      <c r="E12" s="25" t="s">
        <v>79</v>
      </c>
      <c r="F12" s="1"/>
      <c r="G12" s="31" t="s">
        <v>77</v>
      </c>
      <c r="H12" s="32" t="str">
        <f t="shared" si="0"/>
        <v>Melisa Ruales</v>
      </c>
      <c r="I12" s="1"/>
      <c r="J12" s="1"/>
    </row>
    <row r="13" spans="1:10" x14ac:dyDescent="0.3">
      <c r="A13" s="1"/>
      <c r="B13" s="3" t="s">
        <v>80</v>
      </c>
      <c r="C13" s="3" t="s">
        <v>81</v>
      </c>
      <c r="D13" s="24">
        <v>35</v>
      </c>
      <c r="E13" s="25" t="s">
        <v>82</v>
      </c>
      <c r="F13" s="1"/>
      <c r="G13" s="33" t="s">
        <v>80</v>
      </c>
      <c r="H13" s="34" t="str">
        <f t="shared" si="0"/>
        <v>Esteban Arredondo</v>
      </c>
      <c r="I13" s="1"/>
      <c r="J13" s="1"/>
    </row>
    <row r="14" spans="1:10" x14ac:dyDescent="0.3">
      <c r="A14" s="1"/>
      <c r="B14" s="1"/>
      <c r="C14" s="1"/>
      <c r="D14" s="1"/>
      <c r="E14" s="1"/>
      <c r="F14" s="1"/>
      <c r="G14" s="1" t="s">
        <v>85</v>
      </c>
      <c r="H14" s="1" t="e">
        <f t="shared" si="0"/>
        <v>#N/A</v>
      </c>
      <c r="I14" s="1"/>
      <c r="J14" s="1"/>
    </row>
    <row r="15" spans="1:10" x14ac:dyDescent="0.3">
      <c r="A15" s="1"/>
      <c r="B15" s="1"/>
      <c r="C15" s="1"/>
      <c r="D15" s="1"/>
      <c r="E15" s="1"/>
      <c r="F15" s="1"/>
      <c r="G15" s="1"/>
      <c r="H15" s="1"/>
      <c r="I15" s="1"/>
      <c r="J15" s="1"/>
    </row>
    <row r="16" spans="1:10" x14ac:dyDescent="0.3">
      <c r="A16" s="1"/>
      <c r="B16" s="1"/>
      <c r="C16" s="1"/>
      <c r="D16" s="1"/>
      <c r="E16" s="1"/>
      <c r="F16" s="1"/>
      <c r="G16" s="1"/>
      <c r="H16" s="1"/>
      <c r="I16" s="1"/>
      <c r="J16" s="1"/>
    </row>
  </sheetData>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C19B-67A6-4FA8-951B-A55AED888822}">
  <sheetPr>
    <tabColor rgb="FFFFC000"/>
  </sheetPr>
  <dimension ref="B4:H15"/>
  <sheetViews>
    <sheetView workbookViewId="0">
      <selection activeCell="N25" sqref="N25:N26"/>
    </sheetView>
  </sheetViews>
  <sheetFormatPr defaultRowHeight="14.4" x14ac:dyDescent="0.3"/>
  <cols>
    <col min="3" max="3" width="16.5546875" bestFit="1" customWidth="1"/>
    <col min="5" max="5" width="11" customWidth="1"/>
    <col min="8" max="8" width="15.5546875" bestFit="1" customWidth="1"/>
  </cols>
  <sheetData>
    <row r="4" spans="2:8" x14ac:dyDescent="0.3">
      <c r="B4" s="29" t="s">
        <v>51</v>
      </c>
      <c r="C4" s="29" t="s">
        <v>52</v>
      </c>
      <c r="D4" s="27" t="s">
        <v>53</v>
      </c>
      <c r="E4" s="27" t="s">
        <v>4</v>
      </c>
      <c r="F4" s="1"/>
      <c r="G4" s="28" t="s">
        <v>83</v>
      </c>
      <c r="H4" s="28" t="s">
        <v>84</v>
      </c>
    </row>
    <row r="5" spans="2:8" x14ac:dyDescent="0.3">
      <c r="B5" s="30" t="s">
        <v>54</v>
      </c>
      <c r="C5" s="30" t="s">
        <v>55</v>
      </c>
      <c r="D5" s="24">
        <v>25</v>
      </c>
      <c r="E5" s="24" t="s">
        <v>56</v>
      </c>
      <c r="F5" s="1"/>
      <c r="G5" s="35" t="s">
        <v>57</v>
      </c>
      <c r="H5" s="36">
        <f>VLOOKUP(G5,B5:E14,3,0)</f>
        <v>45</v>
      </c>
    </row>
    <row r="6" spans="2:8" x14ac:dyDescent="0.3">
      <c r="B6" s="30" t="s">
        <v>57</v>
      </c>
      <c r="C6" s="30" t="s">
        <v>58</v>
      </c>
      <c r="D6" s="24">
        <v>45</v>
      </c>
      <c r="E6" s="24" t="s">
        <v>59</v>
      </c>
      <c r="F6" s="1"/>
      <c r="G6" s="1" t="s">
        <v>57</v>
      </c>
      <c r="H6" s="1">
        <f t="shared" ref="H6:H15" si="0">VLOOKUP(G6,B6:E15,3,0)</f>
        <v>45</v>
      </c>
    </row>
    <row r="7" spans="2:8" x14ac:dyDescent="0.3">
      <c r="B7" s="30" t="s">
        <v>60</v>
      </c>
      <c r="C7" s="30" t="s">
        <v>61</v>
      </c>
      <c r="D7" s="24">
        <v>34</v>
      </c>
      <c r="E7" s="24" t="s">
        <v>62</v>
      </c>
      <c r="F7" s="1"/>
      <c r="G7" s="35" t="s">
        <v>60</v>
      </c>
      <c r="H7" s="36">
        <f t="shared" si="0"/>
        <v>34</v>
      </c>
    </row>
    <row r="8" spans="2:8" x14ac:dyDescent="0.3">
      <c r="B8" s="30" t="s">
        <v>63</v>
      </c>
      <c r="C8" s="30" t="s">
        <v>64</v>
      </c>
      <c r="D8" s="24">
        <v>34</v>
      </c>
      <c r="E8" s="24" t="s">
        <v>62</v>
      </c>
      <c r="F8" s="1"/>
      <c r="G8" s="1" t="s">
        <v>63</v>
      </c>
      <c r="H8" s="1">
        <f t="shared" si="0"/>
        <v>34</v>
      </c>
    </row>
    <row r="9" spans="2:8" x14ac:dyDescent="0.3">
      <c r="B9" s="30" t="s">
        <v>65</v>
      </c>
      <c r="C9" s="30" t="s">
        <v>66</v>
      </c>
      <c r="D9" s="24">
        <v>23</v>
      </c>
      <c r="E9" s="24" t="s">
        <v>67</v>
      </c>
      <c r="F9" s="1"/>
      <c r="G9" s="36" t="s">
        <v>65</v>
      </c>
      <c r="H9" s="36">
        <f t="shared" si="0"/>
        <v>23</v>
      </c>
    </row>
    <row r="10" spans="2:8" x14ac:dyDescent="0.3">
      <c r="B10" s="30" t="s">
        <v>68</v>
      </c>
      <c r="C10" s="30" t="s">
        <v>69</v>
      </c>
      <c r="D10" s="24">
        <v>54</v>
      </c>
      <c r="E10" s="24" t="s">
        <v>70</v>
      </c>
      <c r="F10" s="1"/>
      <c r="G10" s="1" t="s">
        <v>68</v>
      </c>
      <c r="H10" s="1">
        <f t="shared" si="0"/>
        <v>54</v>
      </c>
    </row>
    <row r="11" spans="2:8" x14ac:dyDescent="0.3">
      <c r="B11" s="30" t="s">
        <v>71</v>
      </c>
      <c r="C11" s="30" t="s">
        <v>72</v>
      </c>
      <c r="D11" s="24">
        <v>47</v>
      </c>
      <c r="E11" s="24" t="s">
        <v>73</v>
      </c>
      <c r="F11" s="1"/>
      <c r="G11" s="36" t="s">
        <v>71</v>
      </c>
      <c r="H11" s="36">
        <f t="shared" si="0"/>
        <v>47</v>
      </c>
    </row>
    <row r="12" spans="2:8" x14ac:dyDescent="0.3">
      <c r="B12" s="30" t="s">
        <v>74</v>
      </c>
      <c r="C12" s="30" t="s">
        <v>75</v>
      </c>
      <c r="D12" s="24">
        <v>42</v>
      </c>
      <c r="E12" s="24" t="s">
        <v>76</v>
      </c>
      <c r="F12" s="1"/>
      <c r="G12" s="1" t="s">
        <v>74</v>
      </c>
      <c r="H12" s="1">
        <f t="shared" si="0"/>
        <v>42</v>
      </c>
    </row>
    <row r="13" spans="2:8" x14ac:dyDescent="0.3">
      <c r="B13" s="30" t="s">
        <v>77</v>
      </c>
      <c r="C13" s="30" t="s">
        <v>78</v>
      </c>
      <c r="D13" s="24">
        <v>37</v>
      </c>
      <c r="E13" s="24" t="s">
        <v>79</v>
      </c>
      <c r="F13" s="1"/>
      <c r="G13" s="36" t="s">
        <v>77</v>
      </c>
      <c r="H13" s="36">
        <f t="shared" si="0"/>
        <v>37</v>
      </c>
    </row>
    <row r="14" spans="2:8" x14ac:dyDescent="0.3">
      <c r="B14" s="30" t="s">
        <v>80</v>
      </c>
      <c r="C14" s="30" t="s">
        <v>81</v>
      </c>
      <c r="D14" s="24">
        <v>35</v>
      </c>
      <c r="E14" s="24" t="s">
        <v>82</v>
      </c>
      <c r="F14" s="1"/>
      <c r="G14" s="1" t="s">
        <v>80</v>
      </c>
      <c r="H14" s="1">
        <f t="shared" si="0"/>
        <v>35</v>
      </c>
    </row>
    <row r="15" spans="2:8" x14ac:dyDescent="0.3">
      <c r="G15" s="1" t="s">
        <v>85</v>
      </c>
      <c r="H15" s="1" t="e">
        <f t="shared" si="0"/>
        <v>#N/A</v>
      </c>
    </row>
  </sheetData>
  <phoneticPr fontId="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74C7D-4E4D-4B6F-BDB8-AAC3231FE448}">
  <sheetPr>
    <tabColor rgb="FF00B0F0"/>
  </sheetPr>
  <dimension ref="A1:L17"/>
  <sheetViews>
    <sheetView workbookViewId="0">
      <selection activeCell="B4" sqref="B4:L11"/>
    </sheetView>
  </sheetViews>
  <sheetFormatPr defaultRowHeight="14.4" x14ac:dyDescent="0.3"/>
  <cols>
    <col min="2" max="2" width="9.6640625" bestFit="1" customWidth="1"/>
    <col min="3" max="4" width="14" bestFit="1" customWidth="1"/>
    <col min="5" max="5" width="13.88671875" bestFit="1" customWidth="1"/>
    <col min="6" max="6" width="15.5546875" bestFit="1" customWidth="1"/>
    <col min="7" max="7" width="10.5546875" bestFit="1" customWidth="1"/>
    <col min="8" max="8" width="12.88671875" bestFit="1" customWidth="1"/>
    <col min="9" max="9" width="12.109375" bestFit="1" customWidth="1"/>
    <col min="10" max="10" width="11.109375" bestFit="1" customWidth="1"/>
    <col min="11" max="11" width="12.109375" bestFit="1" customWidth="1"/>
    <col min="12" max="12" width="16.5546875" bestFit="1" customWidth="1"/>
  </cols>
  <sheetData>
    <row r="1" spans="1:12" x14ac:dyDescent="0.3">
      <c r="A1" s="1"/>
      <c r="B1" s="1"/>
      <c r="C1" s="1"/>
      <c r="D1" s="1"/>
      <c r="E1" s="1"/>
      <c r="F1" s="1"/>
      <c r="G1" s="1"/>
      <c r="H1" s="1"/>
      <c r="I1" s="1"/>
      <c r="J1" s="1"/>
      <c r="K1" s="1"/>
      <c r="L1" s="1"/>
    </row>
    <row r="2" spans="1:12" x14ac:dyDescent="0.3">
      <c r="A2" s="1"/>
      <c r="B2" s="1"/>
      <c r="C2" s="1"/>
      <c r="D2" s="1"/>
      <c r="E2" s="1"/>
      <c r="F2" s="1"/>
      <c r="G2" s="1"/>
      <c r="H2" s="1"/>
      <c r="I2" s="1"/>
      <c r="J2" s="1"/>
      <c r="K2" s="1"/>
      <c r="L2" s="1"/>
    </row>
    <row r="3" spans="1:12" x14ac:dyDescent="0.3">
      <c r="A3" s="1"/>
      <c r="B3" s="1"/>
      <c r="C3" s="1"/>
      <c r="D3" s="1"/>
      <c r="E3" s="1"/>
      <c r="F3" s="1"/>
      <c r="G3" s="1"/>
      <c r="H3" s="1"/>
      <c r="I3" s="1"/>
      <c r="J3" s="1"/>
      <c r="K3" s="1"/>
      <c r="L3" s="1"/>
    </row>
    <row r="4" spans="1:12" x14ac:dyDescent="0.3">
      <c r="A4" s="1"/>
      <c r="B4" s="29" t="s">
        <v>51</v>
      </c>
      <c r="C4" s="30" t="s">
        <v>54</v>
      </c>
      <c r="D4" s="30" t="s">
        <v>57</v>
      </c>
      <c r="E4" s="30" t="s">
        <v>60</v>
      </c>
      <c r="F4" s="30" t="s">
        <v>63</v>
      </c>
      <c r="G4" s="30" t="s">
        <v>65</v>
      </c>
      <c r="H4" s="30" t="s">
        <v>68</v>
      </c>
      <c r="I4" s="30" t="s">
        <v>71</v>
      </c>
      <c r="J4" s="30" t="s">
        <v>74</v>
      </c>
      <c r="K4" s="30" t="s">
        <v>77</v>
      </c>
      <c r="L4" s="30" t="s">
        <v>80</v>
      </c>
    </row>
    <row r="5" spans="1:12" x14ac:dyDescent="0.3">
      <c r="A5" s="1"/>
      <c r="B5" s="29" t="s">
        <v>52</v>
      </c>
      <c r="C5" s="30" t="s">
        <v>55</v>
      </c>
      <c r="D5" s="30" t="s">
        <v>58</v>
      </c>
      <c r="E5" s="30" t="s">
        <v>61</v>
      </c>
      <c r="F5" s="30" t="s">
        <v>64</v>
      </c>
      <c r="G5" s="30" t="s">
        <v>66</v>
      </c>
      <c r="H5" s="30" t="s">
        <v>69</v>
      </c>
      <c r="I5" s="30" t="s">
        <v>72</v>
      </c>
      <c r="J5" s="30" t="s">
        <v>75</v>
      </c>
      <c r="K5" s="30" t="s">
        <v>78</v>
      </c>
      <c r="L5" s="30" t="s">
        <v>81</v>
      </c>
    </row>
    <row r="6" spans="1:12" x14ac:dyDescent="0.3">
      <c r="A6" s="1"/>
      <c r="B6" s="26" t="s">
        <v>53</v>
      </c>
      <c r="C6" s="24">
        <v>25</v>
      </c>
      <c r="D6" s="24">
        <v>45</v>
      </c>
      <c r="E6" s="24">
        <v>34</v>
      </c>
      <c r="F6" s="24">
        <v>34</v>
      </c>
      <c r="G6" s="24">
        <v>23</v>
      </c>
      <c r="H6" s="24">
        <v>54</v>
      </c>
      <c r="I6" s="24">
        <v>47</v>
      </c>
      <c r="J6" s="24">
        <v>42</v>
      </c>
      <c r="K6" s="24">
        <v>37</v>
      </c>
      <c r="L6" s="24">
        <v>35</v>
      </c>
    </row>
    <row r="7" spans="1:12" x14ac:dyDescent="0.3">
      <c r="A7" s="1"/>
      <c r="B7" s="26" t="s">
        <v>4</v>
      </c>
      <c r="C7" s="24" t="s">
        <v>56</v>
      </c>
      <c r="D7" s="24" t="s">
        <v>59</v>
      </c>
      <c r="E7" s="24" t="s">
        <v>62</v>
      </c>
      <c r="F7" s="24" t="s">
        <v>62</v>
      </c>
      <c r="G7" s="24" t="s">
        <v>67</v>
      </c>
      <c r="H7" s="24" t="s">
        <v>70</v>
      </c>
      <c r="I7" s="24" t="s">
        <v>73</v>
      </c>
      <c r="J7" s="24" t="s">
        <v>76</v>
      </c>
      <c r="K7" s="24" t="s">
        <v>79</v>
      </c>
      <c r="L7" s="24" t="s">
        <v>82</v>
      </c>
    </row>
    <row r="8" spans="1:12" x14ac:dyDescent="0.3">
      <c r="A8" s="1"/>
      <c r="B8" s="1"/>
      <c r="C8" s="1"/>
      <c r="D8" s="1"/>
      <c r="E8" s="1"/>
      <c r="F8" s="1"/>
      <c r="G8" s="1"/>
      <c r="H8" s="1"/>
      <c r="I8" s="1"/>
      <c r="J8" s="1"/>
      <c r="K8" s="1"/>
      <c r="L8" s="1"/>
    </row>
    <row r="9" spans="1:12" x14ac:dyDescent="0.3">
      <c r="A9" s="1"/>
      <c r="B9" s="28" t="s">
        <v>83</v>
      </c>
      <c r="C9" s="1" t="s">
        <v>54</v>
      </c>
      <c r="D9" s="1" t="s">
        <v>57</v>
      </c>
      <c r="E9" s="1"/>
      <c r="F9" s="1"/>
      <c r="G9" s="1"/>
      <c r="H9" s="1"/>
      <c r="I9" s="1"/>
      <c r="J9" s="1"/>
      <c r="K9" s="1"/>
      <c r="L9" s="1"/>
    </row>
    <row r="10" spans="1:12" x14ac:dyDescent="0.3">
      <c r="A10" s="1"/>
      <c r="B10" s="28" t="s">
        <v>84</v>
      </c>
      <c r="C10" s="1" t="str">
        <f>HLOOKUP(C9,C4:L7,2)</f>
        <v>Juan Perez</v>
      </c>
      <c r="D10" s="1" t="str">
        <f>HLOOKUP(D9,C4:L7,4)</f>
        <v>$1,500.00</v>
      </c>
      <c r="E10" s="1"/>
      <c r="F10" s="1"/>
      <c r="G10" s="1"/>
      <c r="H10" s="1"/>
      <c r="I10" s="1"/>
      <c r="J10" s="1"/>
      <c r="K10" s="1"/>
      <c r="L10" s="1"/>
    </row>
    <row r="11" spans="1:12" x14ac:dyDescent="0.3">
      <c r="A11" s="1"/>
      <c r="B11" s="1"/>
      <c r="C11" s="1"/>
      <c r="D11" s="1"/>
      <c r="E11" s="1"/>
      <c r="F11" s="1"/>
      <c r="G11" s="1"/>
      <c r="H11" s="1"/>
      <c r="I11" s="1"/>
      <c r="J11" s="1"/>
      <c r="K11" s="1"/>
      <c r="L11" s="1"/>
    </row>
    <row r="12" spans="1:12" x14ac:dyDescent="0.3">
      <c r="A12" s="1"/>
      <c r="B12" s="1"/>
      <c r="C12" s="1"/>
      <c r="D12" s="1"/>
      <c r="E12" s="1"/>
      <c r="F12" s="1"/>
      <c r="G12" s="1"/>
      <c r="H12" s="1"/>
      <c r="I12" s="1"/>
      <c r="J12" s="1"/>
      <c r="K12" s="1"/>
      <c r="L12" s="1"/>
    </row>
    <row r="13" spans="1:12" x14ac:dyDescent="0.3">
      <c r="A13" s="1"/>
      <c r="B13" s="1"/>
      <c r="C13" s="1"/>
      <c r="D13" s="1"/>
      <c r="E13" s="1"/>
      <c r="F13" s="1"/>
      <c r="G13" s="1"/>
      <c r="H13" s="1"/>
      <c r="I13" s="1"/>
      <c r="J13" s="1"/>
      <c r="K13" s="1"/>
      <c r="L13" s="1"/>
    </row>
    <row r="14" spans="1:12" x14ac:dyDescent="0.3">
      <c r="A14" s="1"/>
      <c r="B14" s="1"/>
      <c r="C14" s="1"/>
      <c r="D14" s="1"/>
      <c r="E14" s="1"/>
      <c r="F14" s="1"/>
      <c r="G14" s="1"/>
      <c r="H14" s="1"/>
      <c r="I14" s="1"/>
      <c r="J14" s="1"/>
      <c r="K14" s="1"/>
      <c r="L14" s="1"/>
    </row>
    <row r="15" spans="1:12" x14ac:dyDescent="0.3">
      <c r="A15" s="1"/>
      <c r="B15" s="1"/>
      <c r="C15" s="1"/>
      <c r="D15" s="1"/>
      <c r="E15" s="1"/>
      <c r="F15" s="1"/>
      <c r="G15" s="1"/>
      <c r="H15" s="1"/>
      <c r="I15" s="1"/>
      <c r="J15" s="1"/>
      <c r="K15" s="1"/>
      <c r="L15" s="1"/>
    </row>
    <row r="16" spans="1:12" x14ac:dyDescent="0.3">
      <c r="A16" s="1"/>
      <c r="B16" s="1"/>
      <c r="C16" s="1"/>
      <c r="D16" s="1"/>
      <c r="E16" s="1"/>
      <c r="F16" s="1"/>
      <c r="G16" s="1"/>
      <c r="H16" s="1"/>
      <c r="I16" s="1"/>
      <c r="J16" s="1"/>
      <c r="K16" s="1"/>
      <c r="L16" s="1"/>
    </row>
    <row r="17" spans="1:12" x14ac:dyDescent="0.3">
      <c r="A17" s="1"/>
      <c r="B17" s="1"/>
      <c r="C17" s="1"/>
      <c r="D17" s="1"/>
      <c r="E17" s="1"/>
      <c r="F17" s="1"/>
      <c r="G17" s="1"/>
      <c r="H17" s="1"/>
      <c r="I17" s="1"/>
      <c r="J17" s="1"/>
      <c r="K17" s="1"/>
      <c r="L17" s="1"/>
    </row>
  </sheetData>
  <phoneticPr fontId="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B2254-D544-4CF5-9408-6EB4FBCE2212}">
  <sheetPr>
    <tabColor theme="7"/>
  </sheetPr>
  <dimension ref="A1:J17"/>
  <sheetViews>
    <sheetView workbookViewId="0">
      <selection activeCell="N7" sqref="N7"/>
    </sheetView>
  </sheetViews>
  <sheetFormatPr defaultRowHeight="14.4" x14ac:dyDescent="0.3"/>
  <cols>
    <col min="2" max="2" width="7.33203125" bestFit="1" customWidth="1"/>
    <col min="3" max="3" width="16.5546875" bestFit="1" customWidth="1"/>
    <col min="4" max="4" width="5.44140625" bestFit="1" customWidth="1"/>
    <col min="5" max="5" width="9.109375" bestFit="1" customWidth="1"/>
    <col min="7" max="7" width="7.33203125" bestFit="1" customWidth="1"/>
    <col min="8" max="8" width="15.5546875" bestFit="1" customWidth="1"/>
    <col min="9" max="9" width="1.5546875" bestFit="1" customWidth="1"/>
  </cols>
  <sheetData>
    <row r="1" spans="1:10" x14ac:dyDescent="0.3">
      <c r="A1" s="1"/>
      <c r="B1" s="1"/>
      <c r="C1" s="1"/>
      <c r="D1" s="1"/>
      <c r="E1" s="1"/>
      <c r="F1" s="1"/>
      <c r="G1" s="1"/>
      <c r="H1" s="1"/>
      <c r="I1" s="1"/>
      <c r="J1" s="1"/>
    </row>
    <row r="2" spans="1:10" x14ac:dyDescent="0.3">
      <c r="A2" s="1"/>
      <c r="B2" s="1"/>
      <c r="C2" s="1"/>
      <c r="D2" s="1"/>
      <c r="E2" s="1"/>
      <c r="F2" s="1"/>
      <c r="G2" s="1"/>
      <c r="H2" s="1"/>
      <c r="I2" s="1"/>
      <c r="J2" s="1"/>
    </row>
    <row r="3" spans="1:10" x14ac:dyDescent="0.3">
      <c r="A3" s="1"/>
      <c r="B3" s="1"/>
      <c r="C3" s="1"/>
      <c r="D3" s="1"/>
      <c r="E3" s="1"/>
      <c r="F3" s="1"/>
      <c r="G3" s="1"/>
      <c r="H3" s="1"/>
      <c r="I3" s="1"/>
      <c r="J3" s="1"/>
    </row>
    <row r="4" spans="1:10" x14ac:dyDescent="0.3">
      <c r="A4" s="1"/>
      <c r="B4" s="37" t="s">
        <v>51</v>
      </c>
      <c r="C4" s="37" t="s">
        <v>52</v>
      </c>
      <c r="D4" s="38" t="s">
        <v>53</v>
      </c>
      <c r="E4" s="38" t="s">
        <v>4</v>
      </c>
      <c r="F4" s="1"/>
      <c r="G4" s="39" t="s">
        <v>83</v>
      </c>
      <c r="H4" s="39" t="s">
        <v>84</v>
      </c>
      <c r="I4" s="1"/>
      <c r="J4" s="1"/>
    </row>
    <row r="5" spans="1:10" x14ac:dyDescent="0.3">
      <c r="A5" s="1"/>
      <c r="B5" s="30" t="s">
        <v>54</v>
      </c>
      <c r="C5" s="30" t="s">
        <v>55</v>
      </c>
      <c r="D5" s="24">
        <v>25</v>
      </c>
      <c r="E5" s="24" t="s">
        <v>56</v>
      </c>
      <c r="F5" s="1"/>
      <c r="G5" s="1" t="s">
        <v>85</v>
      </c>
      <c r="H5" s="1" t="str">
        <f>_xlfn.XLOOKUP(G5,B5:B14,D5:D14, "No encontrado")</f>
        <v>No encontrado</v>
      </c>
      <c r="I5" s="1"/>
      <c r="J5" s="1"/>
    </row>
    <row r="6" spans="1:10" x14ac:dyDescent="0.3">
      <c r="A6" s="1"/>
      <c r="B6" s="30" t="s">
        <v>57</v>
      </c>
      <c r="C6" s="30" t="s">
        <v>58</v>
      </c>
      <c r="D6" s="24">
        <v>45</v>
      </c>
      <c r="E6" s="24" t="s">
        <v>59</v>
      </c>
      <c r="F6" s="1"/>
      <c r="G6" s="1" t="s">
        <v>54</v>
      </c>
      <c r="H6" s="1" t="str">
        <f>_xlfn.XLOOKUP(G6,B5:B14,C5:C14, " No encontrado")</f>
        <v>Juan Perez</v>
      </c>
      <c r="I6" s="1"/>
      <c r="J6" s="1"/>
    </row>
    <row r="7" spans="1:10" x14ac:dyDescent="0.3">
      <c r="A7" s="1"/>
      <c r="B7" s="30" t="s">
        <v>60</v>
      </c>
      <c r="C7" s="30" t="s">
        <v>61</v>
      </c>
      <c r="D7" s="24">
        <v>34</v>
      </c>
      <c r="E7" s="24" t="s">
        <v>62</v>
      </c>
      <c r="F7" s="1"/>
      <c r="G7" s="1" t="s">
        <v>57</v>
      </c>
      <c r="H7" s="1" t="str">
        <f t="shared" ref="H7:H14" si="0">_xlfn.XLOOKUP(G7,B6:B15,C6:C15, " No encontrado")</f>
        <v>Andres Sanchez</v>
      </c>
      <c r="I7" s="1"/>
      <c r="J7" s="1"/>
    </row>
    <row r="8" spans="1:10" x14ac:dyDescent="0.3">
      <c r="A8" s="1"/>
      <c r="B8" s="30" t="s">
        <v>63</v>
      </c>
      <c r="C8" s="30" t="s">
        <v>64</v>
      </c>
      <c r="D8" s="24">
        <v>34</v>
      </c>
      <c r="E8" s="24" t="s">
        <v>62</v>
      </c>
      <c r="F8" s="1"/>
      <c r="G8" s="1" t="s">
        <v>60</v>
      </c>
      <c r="H8" s="1" t="str">
        <f t="shared" si="0"/>
        <v>Mario Gonzalez</v>
      </c>
      <c r="I8" s="1"/>
      <c r="J8" s="1"/>
    </row>
    <row r="9" spans="1:10" x14ac:dyDescent="0.3">
      <c r="A9" s="1"/>
      <c r="B9" s="30" t="s">
        <v>65</v>
      </c>
      <c r="C9" s="30" t="s">
        <v>66</v>
      </c>
      <c r="D9" s="24">
        <v>23</v>
      </c>
      <c r="E9" s="24" t="s">
        <v>67</v>
      </c>
      <c r="F9" s="1"/>
      <c r="G9" s="1" t="s">
        <v>63</v>
      </c>
      <c r="H9" s="1" t="str">
        <f t="shared" si="0"/>
        <v>María Dominguez</v>
      </c>
      <c r="I9" s="1"/>
      <c r="J9" s="1"/>
    </row>
    <row r="10" spans="1:10" x14ac:dyDescent="0.3">
      <c r="A10" s="1"/>
      <c r="B10" s="30" t="s">
        <v>68</v>
      </c>
      <c r="C10" s="30" t="s">
        <v>69</v>
      </c>
      <c r="D10" s="24">
        <v>54</v>
      </c>
      <c r="E10" s="24" t="s">
        <v>70</v>
      </c>
      <c r="F10" s="1"/>
      <c r="G10" s="1" t="s">
        <v>65</v>
      </c>
      <c r="H10" s="1" t="str">
        <f t="shared" si="0"/>
        <v>Juana Velez</v>
      </c>
      <c r="I10" s="1"/>
      <c r="J10" s="1"/>
    </row>
    <row r="11" spans="1:10" x14ac:dyDescent="0.3">
      <c r="A11" s="1"/>
      <c r="B11" s="30" t="s">
        <v>71</v>
      </c>
      <c r="C11" s="30" t="s">
        <v>72</v>
      </c>
      <c r="D11" s="24">
        <v>47</v>
      </c>
      <c r="E11" s="24" t="s">
        <v>73</v>
      </c>
      <c r="F11" s="1"/>
      <c r="G11" s="1" t="s">
        <v>68</v>
      </c>
      <c r="H11" s="1" t="str">
        <f t="shared" si="0"/>
        <v>Pedro Urdiales</v>
      </c>
      <c r="I11" s="1"/>
      <c r="J11" s="1"/>
    </row>
    <row r="12" spans="1:10" x14ac:dyDescent="0.3">
      <c r="A12" s="1"/>
      <c r="B12" s="30" t="s">
        <v>74</v>
      </c>
      <c r="C12" s="30" t="s">
        <v>75</v>
      </c>
      <c r="D12" s="24">
        <v>42</v>
      </c>
      <c r="E12" s="24" t="s">
        <v>76</v>
      </c>
      <c r="F12" s="1"/>
      <c r="G12" s="1" t="s">
        <v>71</v>
      </c>
      <c r="H12" s="1" t="str">
        <f t="shared" si="0"/>
        <v>Samanta Loja</v>
      </c>
      <c r="I12" s="1"/>
      <c r="J12" s="1"/>
    </row>
    <row r="13" spans="1:10" x14ac:dyDescent="0.3">
      <c r="A13" s="1"/>
      <c r="B13" s="30" t="s">
        <v>77</v>
      </c>
      <c r="C13" s="30" t="s">
        <v>78</v>
      </c>
      <c r="D13" s="24">
        <v>37</v>
      </c>
      <c r="E13" s="24" t="s">
        <v>79</v>
      </c>
      <c r="F13" s="1"/>
      <c r="G13" s="1" t="s">
        <v>74</v>
      </c>
      <c r="H13" s="1" t="str">
        <f t="shared" si="0"/>
        <v>Melina Lima</v>
      </c>
      <c r="I13" s="1" t="s">
        <v>86</v>
      </c>
      <c r="J13" s="1"/>
    </row>
    <row r="14" spans="1:10" x14ac:dyDescent="0.3">
      <c r="A14" s="1"/>
      <c r="B14" s="30" t="s">
        <v>80</v>
      </c>
      <c r="C14" s="30" t="s">
        <v>81</v>
      </c>
      <c r="D14" s="24">
        <v>35</v>
      </c>
      <c r="E14" s="24" t="s">
        <v>82</v>
      </c>
      <c r="F14" s="1"/>
      <c r="G14" s="1" t="s">
        <v>77</v>
      </c>
      <c r="H14" s="1" t="str">
        <f t="shared" si="0"/>
        <v>Melisa Ruales</v>
      </c>
      <c r="I14" s="1"/>
      <c r="J14" s="1"/>
    </row>
    <row r="15" spans="1:10" x14ac:dyDescent="0.3">
      <c r="A15" s="1"/>
      <c r="B15" s="1"/>
      <c r="C15" s="1"/>
      <c r="D15" s="1"/>
      <c r="E15" s="1"/>
      <c r="F15" s="1"/>
      <c r="G15" s="1"/>
      <c r="H15" s="1"/>
      <c r="I15" s="1"/>
      <c r="J15" s="1"/>
    </row>
    <row r="16" spans="1:10" x14ac:dyDescent="0.3">
      <c r="A16" s="1"/>
      <c r="B16" s="1"/>
      <c r="C16" s="1"/>
      <c r="D16" s="1"/>
      <c r="E16" s="1"/>
      <c r="F16" s="1"/>
      <c r="G16" s="1"/>
      <c r="H16" s="1"/>
      <c r="I16" s="1"/>
      <c r="J16" s="1"/>
    </row>
    <row r="17" spans="1:10" x14ac:dyDescent="0.3">
      <c r="A17" s="1"/>
      <c r="B17" s="1"/>
      <c r="C17" s="1"/>
      <c r="D17" s="1"/>
      <c r="E17" s="1"/>
      <c r="F17" s="1"/>
      <c r="G17" s="1">
        <f>_xlfn.XLOOKUP(G5,B5:B14,E5:E14,0)</f>
        <v>0</v>
      </c>
      <c r="H17" s="1"/>
      <c r="I17" s="1"/>
      <c r="J17" s="1"/>
    </row>
  </sheetData>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C7EBF-873C-4C63-8CEF-1FFCEB6AF95D}">
  <sheetPr>
    <tabColor theme="4"/>
  </sheetPr>
  <dimension ref="A4:G14"/>
  <sheetViews>
    <sheetView workbookViewId="0">
      <selection activeCell="D11" sqref="D11"/>
    </sheetView>
  </sheetViews>
  <sheetFormatPr defaultRowHeight="14.4" x14ac:dyDescent="0.3"/>
  <cols>
    <col min="1" max="1" width="10.6640625" bestFit="1" customWidth="1"/>
    <col min="2" max="2" width="14.33203125" bestFit="1" customWidth="1"/>
    <col min="3" max="3" width="25.109375" bestFit="1" customWidth="1"/>
    <col min="4" max="4" width="8.6640625" bestFit="1" customWidth="1"/>
    <col min="5" max="5" width="16" bestFit="1" customWidth="1"/>
    <col min="6" max="6" width="8.5546875" bestFit="1" customWidth="1"/>
    <col min="7" max="7" width="9.21875" bestFit="1" customWidth="1"/>
  </cols>
  <sheetData>
    <row r="4" spans="1:7" x14ac:dyDescent="0.3">
      <c r="C4" s="74" t="s">
        <v>109</v>
      </c>
      <c r="D4" s="74"/>
    </row>
    <row r="5" spans="1:7" x14ac:dyDescent="0.3">
      <c r="C5" s="47" t="s">
        <v>110</v>
      </c>
      <c r="D5" s="48">
        <v>0.08</v>
      </c>
    </row>
    <row r="6" spans="1:7" x14ac:dyDescent="0.3">
      <c r="C6" s="47" t="s">
        <v>111</v>
      </c>
      <c r="D6" s="48">
        <v>0.18</v>
      </c>
    </row>
    <row r="7" spans="1:7" x14ac:dyDescent="0.3">
      <c r="C7" s="47" t="s">
        <v>112</v>
      </c>
      <c r="D7" s="48">
        <v>0.19</v>
      </c>
    </row>
    <row r="14" spans="1:7" x14ac:dyDescent="0.3">
      <c r="A14" s="1"/>
      <c r="B14" s="1"/>
      <c r="C14" s="1"/>
      <c r="D14" s="1"/>
      <c r="E14" s="1"/>
      <c r="F14" s="1"/>
      <c r="G14" s="1"/>
    </row>
  </sheetData>
  <mergeCells count="1">
    <mergeCell ref="C4:D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AC1D3-872A-451F-8E98-A97F696B43B4}">
  <sheetPr>
    <tabColor rgb="FF0070C0"/>
  </sheetPr>
  <dimension ref="A1:H13"/>
  <sheetViews>
    <sheetView workbookViewId="0">
      <selection activeCell="D17" sqref="D17"/>
    </sheetView>
  </sheetViews>
  <sheetFormatPr defaultRowHeight="14.4" x14ac:dyDescent="0.3"/>
  <cols>
    <col min="1" max="1" width="10.6640625" bestFit="1" customWidth="1"/>
    <col min="2" max="2" width="9.109375" bestFit="1" customWidth="1"/>
    <col min="3" max="3" width="10.21875" bestFit="1" customWidth="1"/>
    <col min="4" max="4" width="8.44140625" bestFit="1" customWidth="1"/>
    <col min="5" max="5" width="16.109375" bestFit="1" customWidth="1"/>
    <col min="6" max="7" width="7.5546875" bestFit="1" customWidth="1"/>
  </cols>
  <sheetData>
    <row r="1" spans="1:8" ht="18" x14ac:dyDescent="0.35">
      <c r="A1" s="75" t="s">
        <v>87</v>
      </c>
      <c r="B1" s="75"/>
      <c r="C1" s="75"/>
      <c r="D1" s="75"/>
      <c r="E1" s="75"/>
      <c r="F1" s="1"/>
      <c r="G1" s="1"/>
      <c r="H1" s="1"/>
    </row>
    <row r="2" spans="1:8" x14ac:dyDescent="0.3">
      <c r="A2" s="1"/>
      <c r="B2" s="1"/>
      <c r="C2" s="1"/>
      <c r="D2" s="1"/>
      <c r="E2" s="1"/>
      <c r="F2" s="1"/>
      <c r="G2" s="1"/>
      <c r="H2" s="1"/>
    </row>
    <row r="3" spans="1:8" x14ac:dyDescent="0.3">
      <c r="A3" s="41" t="s">
        <v>88</v>
      </c>
      <c r="B3" s="41" t="s">
        <v>89</v>
      </c>
      <c r="C3" s="41" t="s">
        <v>90</v>
      </c>
      <c r="D3" s="41" t="s">
        <v>91</v>
      </c>
      <c r="E3" s="41" t="s">
        <v>92</v>
      </c>
      <c r="F3" s="41" t="s">
        <v>18</v>
      </c>
      <c r="G3" s="1"/>
      <c r="H3" s="1"/>
    </row>
    <row r="4" spans="1:8" x14ac:dyDescent="0.3">
      <c r="A4" s="16" t="s">
        <v>93</v>
      </c>
      <c r="B4" s="16">
        <v>10</v>
      </c>
      <c r="C4" s="16">
        <v>10</v>
      </c>
      <c r="D4" s="16">
        <v>100</v>
      </c>
      <c r="E4" s="46">
        <f>D4*'Referencia a otras hojas'!$B$5</f>
        <v>3</v>
      </c>
      <c r="F4" s="16"/>
      <c r="G4" s="1"/>
      <c r="H4" s="1"/>
    </row>
    <row r="5" spans="1:8" x14ac:dyDescent="0.3">
      <c r="A5" s="16" t="s">
        <v>94</v>
      </c>
      <c r="B5" s="16">
        <v>20</v>
      </c>
      <c r="C5" s="16">
        <v>25</v>
      </c>
      <c r="D5" s="16">
        <v>500</v>
      </c>
      <c r="E5" s="46">
        <f>D5*'Referencia a otras hojas'!$B$5</f>
        <v>15</v>
      </c>
      <c r="F5" s="16"/>
      <c r="G5" s="1"/>
      <c r="H5" s="1"/>
    </row>
    <row r="6" spans="1:8" x14ac:dyDescent="0.3">
      <c r="A6" s="16" t="s">
        <v>95</v>
      </c>
      <c r="B6" s="16">
        <v>5</v>
      </c>
      <c r="C6" s="16">
        <v>13</v>
      </c>
      <c r="D6" s="16">
        <v>65</v>
      </c>
      <c r="E6" s="46">
        <f>D6*'Referencia a otras hojas'!$B$5</f>
        <v>1.95</v>
      </c>
      <c r="F6" s="16"/>
      <c r="G6" s="1"/>
      <c r="H6" s="1"/>
    </row>
    <row r="7" spans="1:8" x14ac:dyDescent="0.3">
      <c r="A7" s="16" t="s">
        <v>96</v>
      </c>
      <c r="B7" s="16">
        <v>12</v>
      </c>
      <c r="C7" s="16">
        <v>500</v>
      </c>
      <c r="D7" s="16">
        <v>6</v>
      </c>
      <c r="E7" s="46">
        <f>D7*'Referencia a otras hojas'!$B$5</f>
        <v>0.18</v>
      </c>
      <c r="F7" s="16"/>
      <c r="G7" s="1"/>
      <c r="H7" s="1"/>
    </row>
    <row r="8" spans="1:8" x14ac:dyDescent="0.3">
      <c r="A8" s="16" t="s">
        <v>97</v>
      </c>
      <c r="B8" s="16">
        <v>50</v>
      </c>
      <c r="C8" s="16">
        <v>2.8</v>
      </c>
      <c r="D8" s="16">
        <v>140</v>
      </c>
      <c r="E8" s="46">
        <f>D8*'Referencia a otras hojas'!$B$5</f>
        <v>4.2</v>
      </c>
      <c r="F8" s="16"/>
      <c r="G8" s="1"/>
      <c r="H8" s="1"/>
    </row>
    <row r="9" spans="1:8" x14ac:dyDescent="0.3">
      <c r="A9" s="16" t="s">
        <v>98</v>
      </c>
      <c r="B9" s="16">
        <v>10</v>
      </c>
      <c r="C9" s="16">
        <v>1</v>
      </c>
      <c r="D9" s="16">
        <v>10</v>
      </c>
      <c r="E9" s="46">
        <f>D9*'Referencia a otras hojas'!$B$5</f>
        <v>0.3</v>
      </c>
      <c r="F9" s="16"/>
      <c r="G9" s="1"/>
      <c r="H9" s="1"/>
    </row>
    <row r="10" spans="1:8" x14ac:dyDescent="0.3">
      <c r="A10" s="1"/>
      <c r="B10" s="1"/>
      <c r="C10" s="1"/>
      <c r="D10" s="1"/>
      <c r="E10" s="1"/>
      <c r="F10" s="1"/>
      <c r="G10" s="1"/>
      <c r="H10" s="1"/>
    </row>
    <row r="11" spans="1:8" x14ac:dyDescent="0.3">
      <c r="A11" s="41" t="s">
        <v>99</v>
      </c>
      <c r="B11" s="42">
        <v>10</v>
      </c>
      <c r="C11" s="49">
        <v>25</v>
      </c>
      <c r="D11" s="42">
        <v>13</v>
      </c>
      <c r="E11" s="43">
        <v>500</v>
      </c>
      <c r="F11" s="43">
        <v>2800</v>
      </c>
      <c r="G11" s="43">
        <v>1000</v>
      </c>
      <c r="H11" s="1"/>
    </row>
    <row r="12" spans="1:8" x14ac:dyDescent="0.3">
      <c r="A12" s="41" t="s">
        <v>100</v>
      </c>
      <c r="B12" s="42">
        <f>B11*INTERMEDIO!$D$7</f>
        <v>1.9</v>
      </c>
      <c r="C12" s="42">
        <f>C11*INTERMEDIO!$D$7</f>
        <v>4.75</v>
      </c>
      <c r="D12" s="42">
        <f>D11*INTERMEDIO!$D$7</f>
        <v>2.4700000000000002</v>
      </c>
      <c r="E12" s="42">
        <f>E11*INTERMEDIO!$D$7</f>
        <v>95</v>
      </c>
      <c r="F12" s="42">
        <f>F11*INTERMEDIO!$D$7</f>
        <v>532</v>
      </c>
      <c r="G12" s="42">
        <f>G11*INTERMEDIO!$D$7</f>
        <v>190</v>
      </c>
      <c r="H12" s="1"/>
    </row>
    <row r="13" spans="1:8" x14ac:dyDescent="0.3">
      <c r="A13" s="1"/>
      <c r="B13" s="1"/>
      <c r="C13" s="1"/>
      <c r="D13" s="1"/>
      <c r="E13" s="1"/>
      <c r="F13" s="1"/>
      <c r="G13" s="1"/>
      <c r="H13" s="1"/>
    </row>
  </sheetData>
  <mergeCells count="1">
    <mergeCell ref="A1:E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EB689-9539-4C87-9E51-FE8FA31F85A2}">
  <sheetPr>
    <tabColor theme="5"/>
  </sheetPr>
  <dimension ref="A1:D11"/>
  <sheetViews>
    <sheetView workbookViewId="0">
      <selection activeCell="D4" sqref="D4"/>
    </sheetView>
  </sheetViews>
  <sheetFormatPr defaultRowHeight="14.4" x14ac:dyDescent="0.3"/>
  <cols>
    <col min="1" max="1" width="10.21875" bestFit="1" customWidth="1"/>
    <col min="2" max="2" width="12.33203125" bestFit="1" customWidth="1"/>
  </cols>
  <sheetData>
    <row r="1" spans="1:4" ht="17.399999999999999" x14ac:dyDescent="0.3">
      <c r="A1" s="76" t="s">
        <v>101</v>
      </c>
      <c r="B1" s="76"/>
      <c r="C1" s="76"/>
      <c r="D1" s="76"/>
    </row>
    <row r="2" spans="1:4" x14ac:dyDescent="0.3">
      <c r="A2" s="1"/>
      <c r="B2" s="1"/>
      <c r="C2" s="1"/>
      <c r="D2" s="1"/>
    </row>
    <row r="3" spans="1:4" x14ac:dyDescent="0.3">
      <c r="A3" s="45" t="s">
        <v>102</v>
      </c>
      <c r="B3" s="45" t="s">
        <v>108</v>
      </c>
      <c r="C3" s="1"/>
      <c r="D3" s="1"/>
    </row>
    <row r="4" spans="1:4" x14ac:dyDescent="0.3">
      <c r="A4" s="1" t="s">
        <v>103</v>
      </c>
      <c r="B4" s="14">
        <v>0.02</v>
      </c>
      <c r="C4" s="1"/>
      <c r="D4" s="1"/>
    </row>
    <row r="5" spans="1:4" x14ac:dyDescent="0.3">
      <c r="A5" s="1" t="s">
        <v>104</v>
      </c>
      <c r="B5" s="14">
        <v>0.03</v>
      </c>
      <c r="C5" s="1"/>
      <c r="D5" s="1"/>
    </row>
    <row r="6" spans="1:4" x14ac:dyDescent="0.3">
      <c r="A6" s="1" t="s">
        <v>105</v>
      </c>
      <c r="B6" s="14">
        <v>0.05</v>
      </c>
      <c r="C6" s="1"/>
      <c r="D6" s="1"/>
    </row>
    <row r="7" spans="1:4" x14ac:dyDescent="0.3">
      <c r="A7" s="1" t="s">
        <v>106</v>
      </c>
      <c r="B7" s="44">
        <v>4.4999999999999998E-2</v>
      </c>
      <c r="C7" s="1"/>
      <c r="D7" s="1"/>
    </row>
    <row r="8" spans="1:4" x14ac:dyDescent="0.3">
      <c r="A8" s="1" t="s">
        <v>107</v>
      </c>
      <c r="B8" s="14">
        <v>0.01</v>
      </c>
      <c r="C8" s="1"/>
      <c r="D8" s="1"/>
    </row>
    <row r="9" spans="1:4" x14ac:dyDescent="0.3">
      <c r="A9" s="1"/>
      <c r="B9" s="1"/>
      <c r="C9" s="1"/>
      <c r="D9" s="1"/>
    </row>
    <row r="10" spans="1:4" x14ac:dyDescent="0.3">
      <c r="A10" s="1"/>
      <c r="B10" s="1"/>
      <c r="C10" s="1"/>
    </row>
    <row r="11" spans="1:4" x14ac:dyDescent="0.3">
      <c r="A11" s="1"/>
      <c r="B11" s="1"/>
      <c r="C11" s="1"/>
    </row>
  </sheetData>
  <mergeCells count="1">
    <mergeCell ref="A1:D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74467-576D-4DD4-A0B8-0E2967FF3FFB}">
  <sheetPr>
    <tabColor rgb="FF9999FF"/>
  </sheetPr>
  <dimension ref="A1:J18"/>
  <sheetViews>
    <sheetView topLeftCell="B1" workbookViewId="0">
      <selection activeCell="D25" sqref="D25"/>
    </sheetView>
  </sheetViews>
  <sheetFormatPr defaultRowHeight="14.4" x14ac:dyDescent="0.3"/>
  <cols>
    <col min="4" max="4" width="9" bestFit="1" customWidth="1"/>
    <col min="5" max="5" width="14.6640625" bestFit="1" customWidth="1"/>
    <col min="7" max="7" width="12.77734375" customWidth="1"/>
    <col min="9" max="9" width="14.6640625" bestFit="1" customWidth="1"/>
  </cols>
  <sheetData>
    <row r="1" spans="1:10" x14ac:dyDescent="0.3">
      <c r="A1" s="1"/>
      <c r="B1" s="1"/>
      <c r="C1" s="1"/>
      <c r="D1" s="1"/>
      <c r="E1" s="1"/>
      <c r="F1" s="1"/>
      <c r="G1" s="1"/>
      <c r="H1" s="1"/>
      <c r="I1" s="1"/>
      <c r="J1" s="1"/>
    </row>
    <row r="2" spans="1:10" x14ac:dyDescent="0.3">
      <c r="A2" s="1"/>
      <c r="B2" s="1"/>
      <c r="C2" s="1"/>
      <c r="D2" s="1"/>
      <c r="E2" s="1"/>
      <c r="F2" s="1"/>
      <c r="G2" s="1"/>
      <c r="H2" s="1"/>
      <c r="I2" s="1"/>
      <c r="J2" s="1"/>
    </row>
    <row r="3" spans="1:10" x14ac:dyDescent="0.3">
      <c r="A3" s="1"/>
      <c r="B3" s="1"/>
      <c r="C3" s="1"/>
      <c r="D3" s="1"/>
      <c r="E3" s="1"/>
      <c r="F3" s="1"/>
      <c r="G3" s="1"/>
      <c r="H3" s="1"/>
      <c r="I3" s="1"/>
      <c r="J3" s="1"/>
    </row>
    <row r="4" spans="1:10" ht="15" thickBot="1" x14ac:dyDescent="0.35">
      <c r="A4" s="1"/>
      <c r="B4" s="1"/>
      <c r="C4" s="1"/>
      <c r="D4" s="59" t="s">
        <v>89</v>
      </c>
      <c r="E4" s="59" t="s">
        <v>3</v>
      </c>
      <c r="F4" s="1"/>
      <c r="G4" s="1"/>
      <c r="H4" s="1"/>
      <c r="I4" s="1"/>
      <c r="J4" s="1"/>
    </row>
    <row r="5" spans="1:10" ht="15" thickTop="1" x14ac:dyDescent="0.3">
      <c r="A5" s="1"/>
      <c r="B5" s="1"/>
      <c r="C5" s="60" t="s">
        <v>88</v>
      </c>
      <c r="D5" s="55">
        <v>90</v>
      </c>
      <c r="E5" s="56">
        <v>1056870</v>
      </c>
      <c r="F5" s="1"/>
      <c r="H5" s="66" t="s">
        <v>89</v>
      </c>
      <c r="I5" s="77" t="s">
        <v>3</v>
      </c>
      <c r="J5" s="77"/>
    </row>
    <row r="6" spans="1:10" x14ac:dyDescent="0.3">
      <c r="A6" s="1"/>
      <c r="B6" s="1"/>
      <c r="C6" s="61" t="s">
        <v>88</v>
      </c>
      <c r="D6" s="51">
        <v>71</v>
      </c>
      <c r="E6" s="52">
        <v>1397706</v>
      </c>
      <c r="F6" s="1"/>
      <c r="G6" s="65" t="s">
        <v>88</v>
      </c>
      <c r="H6" s="16">
        <v>90</v>
      </c>
      <c r="I6" s="78">
        <v>1056870</v>
      </c>
      <c r="J6" s="78"/>
    </row>
    <row r="7" spans="1:10" x14ac:dyDescent="0.3">
      <c r="A7" s="1"/>
      <c r="B7" s="1"/>
      <c r="C7" s="61" t="s">
        <v>88</v>
      </c>
      <c r="D7" s="51">
        <v>61</v>
      </c>
      <c r="E7" s="52">
        <v>835212</v>
      </c>
      <c r="F7" s="1"/>
      <c r="G7" s="65" t="s">
        <v>88</v>
      </c>
      <c r="H7" s="16">
        <v>71</v>
      </c>
      <c r="I7" s="78">
        <v>1397706</v>
      </c>
      <c r="J7" s="78"/>
    </row>
    <row r="8" spans="1:10" ht="15" thickBot="1" x14ac:dyDescent="0.35">
      <c r="A8" s="1"/>
      <c r="B8" s="1"/>
      <c r="C8" s="62" t="s">
        <v>88</v>
      </c>
      <c r="D8" s="53">
        <v>99</v>
      </c>
      <c r="E8" s="54">
        <v>1730124</v>
      </c>
      <c r="F8" s="1"/>
      <c r="G8" s="65" t="s">
        <v>88</v>
      </c>
      <c r="H8" s="16">
        <v>61</v>
      </c>
      <c r="I8" s="78">
        <v>835212</v>
      </c>
      <c r="J8" s="78"/>
    </row>
    <row r="9" spans="1:10" x14ac:dyDescent="0.3">
      <c r="A9" s="1"/>
      <c r="B9" s="1"/>
      <c r="C9" s="1"/>
      <c r="D9" s="1"/>
      <c r="E9" s="1"/>
      <c r="F9" s="1"/>
      <c r="G9" s="65" t="s">
        <v>88</v>
      </c>
      <c r="H9" s="16">
        <v>99</v>
      </c>
      <c r="I9" s="78">
        <v>1730124</v>
      </c>
      <c r="J9" s="78"/>
    </row>
    <row r="10" spans="1:10" x14ac:dyDescent="0.3">
      <c r="A10" s="1"/>
      <c r="B10" s="1"/>
      <c r="C10" s="1"/>
      <c r="D10" s="1"/>
      <c r="E10" s="1"/>
      <c r="F10" s="1"/>
      <c r="G10" s="1"/>
      <c r="H10" s="1"/>
      <c r="I10" s="1"/>
      <c r="J10" s="1"/>
    </row>
    <row r="11" spans="1:10" x14ac:dyDescent="0.3">
      <c r="A11" s="1"/>
      <c r="B11" s="1"/>
      <c r="C11" s="57"/>
      <c r="D11" s="63" t="s">
        <v>89</v>
      </c>
      <c r="E11" s="63" t="s">
        <v>3</v>
      </c>
      <c r="F11" s="1"/>
      <c r="G11" s="1"/>
      <c r="H11" s="1"/>
      <c r="I11" s="1"/>
      <c r="J11" s="1"/>
    </row>
    <row r="12" spans="1:10" x14ac:dyDescent="0.3">
      <c r="A12" s="1"/>
      <c r="B12" s="1"/>
      <c r="C12" s="64" t="s">
        <v>88</v>
      </c>
      <c r="D12" s="57">
        <v>90</v>
      </c>
      <c r="E12" s="58">
        <v>1056870</v>
      </c>
      <c r="F12" s="1"/>
      <c r="G12" s="1"/>
      <c r="H12" s="1"/>
      <c r="I12" s="1"/>
      <c r="J12" s="1"/>
    </row>
    <row r="13" spans="1:10" x14ac:dyDescent="0.3">
      <c r="A13" s="1"/>
      <c r="B13" s="1"/>
      <c r="C13" s="64" t="s">
        <v>88</v>
      </c>
      <c r="D13" s="57">
        <v>71</v>
      </c>
      <c r="E13" s="58">
        <v>1397706</v>
      </c>
      <c r="F13" s="1"/>
      <c r="G13" s="1"/>
      <c r="H13" s="1"/>
      <c r="I13" s="1"/>
      <c r="J13" s="1"/>
    </row>
    <row r="14" spans="1:10" x14ac:dyDescent="0.3">
      <c r="A14" s="1"/>
      <c r="B14" s="1"/>
      <c r="C14" s="64" t="s">
        <v>88</v>
      </c>
      <c r="D14" s="57">
        <v>61</v>
      </c>
      <c r="E14" s="58">
        <v>835212</v>
      </c>
      <c r="F14" s="1"/>
      <c r="G14" s="1"/>
      <c r="H14" s="1"/>
      <c r="I14" s="1"/>
      <c r="J14" s="1"/>
    </row>
    <row r="15" spans="1:10" x14ac:dyDescent="0.3">
      <c r="A15" s="1"/>
      <c r="B15" s="1"/>
      <c r="C15" s="64" t="s">
        <v>88</v>
      </c>
      <c r="D15" s="57">
        <v>99</v>
      </c>
      <c r="E15" s="58">
        <v>1730124</v>
      </c>
      <c r="F15" s="1"/>
      <c r="G15" s="1"/>
      <c r="H15" s="1"/>
      <c r="I15" s="1"/>
      <c r="J15" s="40"/>
    </row>
    <row r="16" spans="1:10" x14ac:dyDescent="0.3">
      <c r="A16" s="1"/>
      <c r="B16" s="1"/>
      <c r="C16" s="1"/>
      <c r="D16" s="1"/>
      <c r="E16" s="1"/>
      <c r="F16" s="1"/>
      <c r="G16" s="1"/>
      <c r="H16" s="1"/>
      <c r="I16" s="1"/>
      <c r="J16" s="1"/>
    </row>
    <row r="17" spans="1:10" x14ac:dyDescent="0.3">
      <c r="A17" s="1"/>
      <c r="B17" s="1"/>
      <c r="C17" s="1"/>
      <c r="D17" s="1"/>
      <c r="E17" s="1"/>
      <c r="F17" s="1"/>
      <c r="G17" s="1"/>
      <c r="H17" s="1"/>
      <c r="I17" s="1"/>
      <c r="J17" s="1"/>
    </row>
    <row r="18" spans="1:10" x14ac:dyDescent="0.3">
      <c r="A18" s="1"/>
      <c r="B18" s="1"/>
      <c r="C18" s="1"/>
      <c r="D18" s="1"/>
      <c r="E18" s="1"/>
      <c r="F18" s="1"/>
      <c r="G18" s="1"/>
      <c r="H18" s="1"/>
      <c r="I18" s="1"/>
      <c r="J18" s="1"/>
    </row>
  </sheetData>
  <mergeCells count="5">
    <mergeCell ref="I5:J5"/>
    <mergeCell ref="I6:J6"/>
    <mergeCell ref="I7:J7"/>
    <mergeCell ref="I8:J8"/>
    <mergeCell ref="I9:J9"/>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7896-29CF-4801-A188-37BBE6538DA0}">
  <sheetPr>
    <tabColor rgb="FFFF5050"/>
  </sheetPr>
  <dimension ref="A3:I21"/>
  <sheetViews>
    <sheetView workbookViewId="0">
      <selection activeCell="B17" sqref="B17"/>
    </sheetView>
  </sheetViews>
  <sheetFormatPr defaultRowHeight="14.4" x14ac:dyDescent="0.3"/>
  <cols>
    <col min="2" max="2" width="11.6640625" bestFit="1" customWidth="1"/>
    <col min="8" max="8" width="9" bestFit="1" customWidth="1"/>
  </cols>
  <sheetData>
    <row r="3" spans="2:9" x14ac:dyDescent="0.3">
      <c r="B3" s="1"/>
      <c r="C3" s="1"/>
      <c r="D3" s="1"/>
      <c r="E3" s="1"/>
      <c r="F3" s="1"/>
      <c r="G3" s="1"/>
      <c r="H3" s="1"/>
      <c r="I3" s="1"/>
    </row>
    <row r="4" spans="2:9" x14ac:dyDescent="0.3">
      <c r="B4" s="1"/>
      <c r="C4" s="1"/>
      <c r="D4" s="1"/>
      <c r="E4" s="1"/>
      <c r="F4" s="1"/>
      <c r="G4" s="1"/>
      <c r="H4" s="1"/>
      <c r="I4" s="1"/>
    </row>
    <row r="5" spans="2:9" x14ac:dyDescent="0.3">
      <c r="B5" s="1"/>
      <c r="C5" s="66" t="s">
        <v>89</v>
      </c>
      <c r="D5" s="69" t="s">
        <v>3</v>
      </c>
      <c r="E5" s="70"/>
      <c r="F5" s="1"/>
      <c r="G5" s="1"/>
      <c r="H5" s="50" t="s">
        <v>89</v>
      </c>
      <c r="I5" s="1"/>
    </row>
    <row r="6" spans="2:9" x14ac:dyDescent="0.3">
      <c r="B6" s="65" t="s">
        <v>88</v>
      </c>
      <c r="C6" s="16">
        <v>90</v>
      </c>
      <c r="D6" s="71">
        <v>1056870</v>
      </c>
      <c r="E6" s="72"/>
      <c r="F6" s="1"/>
      <c r="G6" s="67" t="s">
        <v>88</v>
      </c>
      <c r="H6" s="16">
        <v>59</v>
      </c>
      <c r="I6" s="1"/>
    </row>
    <row r="7" spans="2:9" x14ac:dyDescent="0.3">
      <c r="B7" s="65" t="s">
        <v>88</v>
      </c>
      <c r="C7" s="16">
        <v>71</v>
      </c>
      <c r="D7" s="71">
        <v>1397706</v>
      </c>
      <c r="E7" s="72"/>
      <c r="F7" s="1"/>
      <c r="G7" s="67" t="s">
        <v>88</v>
      </c>
      <c r="H7" s="16">
        <v>54</v>
      </c>
      <c r="I7" s="1"/>
    </row>
    <row r="8" spans="2:9" x14ac:dyDescent="0.3">
      <c r="B8" s="65" t="s">
        <v>88</v>
      </c>
      <c r="C8" s="16">
        <v>61</v>
      </c>
      <c r="D8" s="71">
        <v>835212</v>
      </c>
      <c r="E8" s="72"/>
      <c r="F8" s="1"/>
      <c r="G8" s="67" t="s">
        <v>88</v>
      </c>
      <c r="H8" s="16">
        <v>75</v>
      </c>
      <c r="I8" s="1"/>
    </row>
    <row r="9" spans="2:9" x14ac:dyDescent="0.3">
      <c r="B9" s="65" t="s">
        <v>88</v>
      </c>
      <c r="C9" s="16">
        <v>99</v>
      </c>
      <c r="D9" s="71">
        <v>1730124</v>
      </c>
      <c r="E9" s="72"/>
      <c r="F9" s="1"/>
      <c r="G9" s="67" t="s">
        <v>88</v>
      </c>
      <c r="H9" s="16">
        <v>57</v>
      </c>
      <c r="I9" s="1"/>
    </row>
    <row r="10" spans="2:9" x14ac:dyDescent="0.3">
      <c r="B10" s="1"/>
      <c r="C10" s="1"/>
      <c r="D10" s="1"/>
      <c r="E10" s="1"/>
      <c r="F10" s="1"/>
      <c r="G10" s="67" t="s">
        <v>88</v>
      </c>
      <c r="H10" s="16">
        <v>63</v>
      </c>
      <c r="I10" s="1"/>
    </row>
    <row r="11" spans="2:9" x14ac:dyDescent="0.3">
      <c r="B11" s="1"/>
      <c r="C11" s="1"/>
      <c r="D11" s="1"/>
      <c r="E11" s="1"/>
      <c r="F11" s="1"/>
      <c r="G11" s="67" t="s">
        <v>88</v>
      </c>
      <c r="H11" s="16">
        <v>86</v>
      </c>
      <c r="I11" s="1"/>
    </row>
    <row r="12" spans="2:9" x14ac:dyDescent="0.3">
      <c r="B12" s="1"/>
      <c r="C12" s="1"/>
      <c r="D12" s="1"/>
      <c r="E12" s="1"/>
      <c r="F12" s="1"/>
      <c r="G12" s="67" t="s">
        <v>88</v>
      </c>
      <c r="H12" s="16">
        <v>100</v>
      </c>
      <c r="I12" s="1"/>
    </row>
    <row r="13" spans="2:9" x14ac:dyDescent="0.3">
      <c r="B13" s="1"/>
      <c r="C13" s="1"/>
      <c r="D13" s="1"/>
      <c r="E13" s="1"/>
      <c r="F13" s="1"/>
      <c r="G13" s="67" t="s">
        <v>88</v>
      </c>
      <c r="H13" s="16">
        <v>57</v>
      </c>
      <c r="I13" s="1"/>
    </row>
    <row r="14" spans="2:9" x14ac:dyDescent="0.3">
      <c r="B14" s="1"/>
      <c r="C14" s="1"/>
      <c r="D14" s="1"/>
      <c r="E14" s="1"/>
      <c r="F14" s="1"/>
      <c r="G14" s="67" t="s">
        <v>88</v>
      </c>
      <c r="H14" s="16">
        <v>54</v>
      </c>
      <c r="I14" s="1"/>
    </row>
    <row r="15" spans="2:9" x14ac:dyDescent="0.3">
      <c r="B15" s="1"/>
      <c r="C15" s="68"/>
      <c r="D15" s="68"/>
      <c r="E15" s="1"/>
      <c r="F15" s="1"/>
      <c r="G15" s="67" t="s">
        <v>88</v>
      </c>
      <c r="H15" s="16">
        <v>88</v>
      </c>
      <c r="I15" s="1"/>
    </row>
    <row r="16" spans="2:9" x14ac:dyDescent="0.3">
      <c r="B16" s="1"/>
      <c r="C16" s="68"/>
      <c r="D16" s="68"/>
      <c r="E16" s="1"/>
      <c r="F16" s="1"/>
      <c r="G16" s="1"/>
      <c r="H16" s="1"/>
      <c r="I16" s="1"/>
    </row>
    <row r="17" spans="1:9" x14ac:dyDescent="0.3">
      <c r="B17" s="1"/>
      <c r="C17" s="68"/>
      <c r="D17" s="68"/>
      <c r="E17" s="1"/>
      <c r="F17" s="1"/>
      <c r="G17" s="1"/>
      <c r="H17" s="1"/>
      <c r="I17" s="1"/>
    </row>
    <row r="18" spans="1:9" x14ac:dyDescent="0.3">
      <c r="B18" s="1"/>
      <c r="C18" s="68"/>
      <c r="D18" s="68"/>
      <c r="E18" s="1"/>
      <c r="F18" s="1"/>
      <c r="G18" s="1"/>
      <c r="H18" s="1"/>
      <c r="I18" s="1"/>
    </row>
    <row r="21" spans="1:9" x14ac:dyDescent="0.3">
      <c r="A21" t="s">
        <v>86</v>
      </c>
    </row>
  </sheetData>
  <mergeCells count="9">
    <mergeCell ref="C16:D16"/>
    <mergeCell ref="C17:D17"/>
    <mergeCell ref="C18:D18"/>
    <mergeCell ref="C15:D15"/>
    <mergeCell ref="D5:E5"/>
    <mergeCell ref="D6:E6"/>
    <mergeCell ref="D7:E7"/>
    <mergeCell ref="D8:E8"/>
    <mergeCell ref="D9:E9"/>
  </mergeCells>
  <conditionalFormatting sqref="D6:E9">
    <cfRule type="cellIs" dxfId="1" priority="2" operator="greaterThan">
      <formula>1000000</formula>
    </cfRule>
    <cfRule type="cellIs" dxfId="0" priority="3" stopIfTrue="1" operator="greaterThan">
      <formula>" $ 1,282,668.00 "</formula>
    </cfRule>
  </conditionalFormatting>
  <conditionalFormatting sqref="H6:H15">
    <cfRule type="dataBar" priority="1">
      <dataBar>
        <cfvo type="min"/>
        <cfvo type="max"/>
        <color rgb="FF9999FF"/>
      </dataBar>
      <extLst>
        <ext xmlns:x14="http://schemas.microsoft.com/office/spreadsheetml/2009/9/main" uri="{B025F937-C7B1-47D3-B67F-A62EFF666E3E}">
          <x14:id>{A63DC73E-FAB9-444D-A8FF-D9D5057D22A0}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63DC73E-FAB9-444D-A8FF-D9D5057D22A0}">
            <x14:dataBar minLength="0" maxLength="100" border="1" gradient="0" negativeBarBorderColorSameAsPositive="0">
              <x14:cfvo type="autoMin"/>
              <x14:cfvo type="autoMax"/>
              <x14:borderColor rgb="FFFFB628"/>
              <x14:negativeFillColor rgb="FFFF0000"/>
              <x14:negativeBorderColor rgb="FFFF0000"/>
              <x14:axisColor rgb="FF000000"/>
            </x14:dataBar>
          </x14:cfRule>
          <xm:sqref>H6:H15</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4FEB5-6FBA-4E19-B1FB-973B405F8BE0}">
  <sheetPr>
    <tabColor theme="0" tint="-0.34998626667073579"/>
  </sheetPr>
  <dimension ref="B1:F10"/>
  <sheetViews>
    <sheetView workbookViewId="0">
      <selection activeCell="E14" sqref="E14"/>
    </sheetView>
  </sheetViews>
  <sheetFormatPr defaultRowHeight="14.4" x14ac:dyDescent="0.3"/>
  <cols>
    <col min="2" max="2" width="11.6640625" bestFit="1" customWidth="1"/>
    <col min="5" max="5" width="14.6640625" bestFit="1" customWidth="1"/>
  </cols>
  <sheetData>
    <row r="1" spans="2:6" x14ac:dyDescent="0.3">
      <c r="B1" s="1"/>
      <c r="C1" s="1"/>
      <c r="D1" s="1"/>
      <c r="E1" s="1"/>
      <c r="F1" s="1"/>
    </row>
    <row r="2" spans="2:6" x14ac:dyDescent="0.3">
      <c r="B2" s="1"/>
      <c r="C2" s="1"/>
      <c r="D2" s="1"/>
      <c r="E2" s="1"/>
      <c r="F2" s="1"/>
    </row>
    <row r="3" spans="2:6" x14ac:dyDescent="0.3">
      <c r="B3" s="1"/>
      <c r="C3" s="1"/>
      <c r="D3" s="1"/>
      <c r="E3" s="1"/>
      <c r="F3" s="1"/>
    </row>
    <row r="4" spans="2:6" x14ac:dyDescent="0.3">
      <c r="B4" s="1"/>
      <c r="C4" s="89" t="s">
        <v>89</v>
      </c>
      <c r="D4" s="89"/>
      <c r="E4" s="89" t="s">
        <v>3</v>
      </c>
      <c r="F4" s="1"/>
    </row>
    <row r="5" spans="2:6" ht="13.8" customHeight="1" x14ac:dyDescent="0.3">
      <c r="B5" s="90" t="s">
        <v>88</v>
      </c>
      <c r="C5" s="16">
        <v>90</v>
      </c>
      <c r="D5" s="16"/>
      <c r="E5" s="82">
        <v>1056870</v>
      </c>
      <c r="F5" s="1"/>
    </row>
    <row r="6" spans="2:6" ht="13.8" customHeight="1" x14ac:dyDescent="0.3">
      <c r="B6" s="80"/>
      <c r="C6" s="16"/>
      <c r="D6" s="16"/>
      <c r="E6" s="83"/>
      <c r="F6" s="1"/>
    </row>
    <row r="7" spans="2:6" x14ac:dyDescent="0.3">
      <c r="B7" s="90" t="s">
        <v>88</v>
      </c>
      <c r="C7" s="16">
        <v>71</v>
      </c>
      <c r="D7" s="16"/>
      <c r="E7" s="82">
        <v>1397706</v>
      </c>
      <c r="F7" s="1"/>
    </row>
    <row r="8" spans="2:6" x14ac:dyDescent="0.3">
      <c r="B8" s="90" t="s">
        <v>88</v>
      </c>
      <c r="C8" s="16"/>
      <c r="D8" s="16"/>
      <c r="E8" s="82">
        <v>835212</v>
      </c>
      <c r="F8" s="1"/>
    </row>
    <row r="9" spans="2:6" x14ac:dyDescent="0.3">
      <c r="B9" s="90" t="s">
        <v>88</v>
      </c>
      <c r="C9" s="79">
        <v>61</v>
      </c>
      <c r="D9" s="79"/>
      <c r="E9" s="82">
        <v>1730124</v>
      </c>
      <c r="F9" s="1"/>
    </row>
    <row r="10" spans="2:6" x14ac:dyDescent="0.3">
      <c r="B10" s="1"/>
      <c r="C10" s="16">
        <v>99</v>
      </c>
      <c r="D10" s="81"/>
      <c r="E10" s="1"/>
      <c r="F10" s="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29ABF-55BA-48AB-B0E3-9BC1E03E38C8}">
  <sheetPr>
    <tabColor theme="7" tint="0.39997558519241921"/>
  </sheetPr>
  <dimension ref="B3:G16"/>
  <sheetViews>
    <sheetView workbookViewId="0">
      <selection activeCell="I21" sqref="I21"/>
    </sheetView>
  </sheetViews>
  <sheetFormatPr defaultRowHeight="14.4" x14ac:dyDescent="0.3"/>
  <cols>
    <col min="2" max="2" width="13.21875" bestFit="1" customWidth="1"/>
    <col min="3" max="3" width="7.21875" bestFit="1" customWidth="1"/>
    <col min="4" max="4" width="13" bestFit="1" customWidth="1"/>
    <col min="5" max="5" width="11" bestFit="1" customWidth="1"/>
    <col min="7" max="7" width="1.44140625" bestFit="1" customWidth="1"/>
  </cols>
  <sheetData>
    <row r="3" spans="2:7" x14ac:dyDescent="0.3">
      <c r="B3" s="93" t="s">
        <v>88</v>
      </c>
      <c r="C3" s="93" t="s">
        <v>113</v>
      </c>
      <c r="D3" s="93" t="s">
        <v>89</v>
      </c>
      <c r="E3" s="93" t="s">
        <v>3</v>
      </c>
    </row>
    <row r="4" spans="2:7" x14ac:dyDescent="0.3">
      <c r="B4" s="97" t="s">
        <v>117</v>
      </c>
      <c r="C4" s="97">
        <v>4</v>
      </c>
      <c r="D4" s="97">
        <v>99</v>
      </c>
      <c r="E4" s="98">
        <v>1730124</v>
      </c>
    </row>
    <row r="5" spans="2:7" x14ac:dyDescent="0.3">
      <c r="B5" s="97" t="s">
        <v>121</v>
      </c>
      <c r="C5" s="97">
        <v>3</v>
      </c>
      <c r="D5" s="97">
        <v>71</v>
      </c>
      <c r="E5" s="98">
        <v>1218529</v>
      </c>
    </row>
    <row r="6" spans="2:7" x14ac:dyDescent="0.3">
      <c r="B6" s="97" t="s">
        <v>125</v>
      </c>
      <c r="C6" s="97">
        <v>2</v>
      </c>
      <c r="D6" s="97">
        <v>82</v>
      </c>
      <c r="E6" s="98">
        <v>1579722</v>
      </c>
    </row>
    <row r="7" spans="2:7" x14ac:dyDescent="0.3">
      <c r="B7" s="94" t="s">
        <v>118</v>
      </c>
      <c r="C7" s="91">
        <v>9</v>
      </c>
      <c r="D7" s="91">
        <v>73</v>
      </c>
      <c r="E7" s="92">
        <v>1662496</v>
      </c>
    </row>
    <row r="8" spans="2:7" x14ac:dyDescent="0.3">
      <c r="B8" s="95" t="s">
        <v>116</v>
      </c>
      <c r="C8" s="95">
        <v>8</v>
      </c>
      <c r="D8" s="95">
        <v>61</v>
      </c>
      <c r="E8" s="96">
        <v>835212</v>
      </c>
    </row>
    <row r="9" spans="2:7" x14ac:dyDescent="0.3">
      <c r="B9" s="95" t="s">
        <v>120</v>
      </c>
      <c r="C9" s="95">
        <v>7</v>
      </c>
      <c r="D9" s="95">
        <v>63</v>
      </c>
      <c r="E9" s="96">
        <v>1994467</v>
      </c>
    </row>
    <row r="10" spans="2:7" x14ac:dyDescent="0.3">
      <c r="B10" s="94" t="s">
        <v>119</v>
      </c>
      <c r="C10" s="91">
        <v>6</v>
      </c>
      <c r="D10" s="91">
        <v>77</v>
      </c>
      <c r="E10" s="92">
        <v>1214288</v>
      </c>
    </row>
    <row r="11" spans="2:7" x14ac:dyDescent="0.3">
      <c r="B11" s="94" t="s">
        <v>122</v>
      </c>
      <c r="C11" s="91">
        <v>5</v>
      </c>
      <c r="D11" s="91">
        <v>79</v>
      </c>
      <c r="E11" s="92">
        <v>1986729</v>
      </c>
    </row>
    <row r="12" spans="2:7" x14ac:dyDescent="0.3">
      <c r="B12" s="94" t="s">
        <v>115</v>
      </c>
      <c r="C12" s="91">
        <v>12</v>
      </c>
      <c r="D12" s="91">
        <v>71</v>
      </c>
      <c r="E12" s="92">
        <v>1397706</v>
      </c>
    </row>
    <row r="13" spans="2:7" x14ac:dyDescent="0.3">
      <c r="B13" s="94" t="s">
        <v>124</v>
      </c>
      <c r="C13" s="91">
        <v>11</v>
      </c>
      <c r="D13" s="91">
        <v>66</v>
      </c>
      <c r="E13" s="92">
        <v>781503</v>
      </c>
    </row>
    <row r="14" spans="2:7" x14ac:dyDescent="0.3">
      <c r="B14" s="94" t="s">
        <v>114</v>
      </c>
      <c r="C14" s="91">
        <v>10</v>
      </c>
      <c r="D14" s="91">
        <v>90</v>
      </c>
      <c r="E14" s="92">
        <v>1056870</v>
      </c>
    </row>
    <row r="15" spans="2:7" x14ac:dyDescent="0.3">
      <c r="B15" s="94" t="s">
        <v>123</v>
      </c>
      <c r="C15" s="91">
        <v>1</v>
      </c>
      <c r="D15" s="91">
        <v>67</v>
      </c>
      <c r="E15" s="92">
        <v>1335133</v>
      </c>
    </row>
    <row r="16" spans="2:7" x14ac:dyDescent="0.3">
      <c r="G16" t="s">
        <v>86</v>
      </c>
    </row>
  </sheetData>
  <autoFilter ref="B3:E15" xr:uid="{00729ABF-55BA-48AB-B0E3-9BC1E03E38C8}">
    <sortState xmlns:xlrd2="http://schemas.microsoft.com/office/spreadsheetml/2017/richdata2" ref="B8:E13">
      <sortCondition sortBy="fontColor" ref="E3:E15" dxfId="3"/>
    </sortState>
  </autoFilter>
  <sortState xmlns:xlrd2="http://schemas.microsoft.com/office/spreadsheetml/2017/richdata2" ref="B4:E15">
    <sortCondition descending="1" ref="B4:B15"/>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CD0F-A30C-4A40-B434-AC75CD2815A7}">
  <dimension ref="A1:E44"/>
  <sheetViews>
    <sheetView topLeftCell="A10" workbookViewId="0">
      <selection activeCell="G10" sqref="G10"/>
    </sheetView>
  </sheetViews>
  <sheetFormatPr defaultRowHeight="14.4" outlineLevelRow="2" x14ac:dyDescent="0.3"/>
  <cols>
    <col min="1" max="1" width="12.88671875" customWidth="1"/>
    <col min="2" max="2" width="15" customWidth="1"/>
    <col min="8" max="8" width="10.109375" bestFit="1" customWidth="1"/>
  </cols>
  <sheetData>
    <row r="1" spans="1:5" x14ac:dyDescent="0.3">
      <c r="A1" s="40" t="s">
        <v>126</v>
      </c>
      <c r="B1" s="40" t="s">
        <v>127</v>
      </c>
      <c r="C1" s="40" t="s">
        <v>88</v>
      </c>
      <c r="D1" s="40" t="s">
        <v>128</v>
      </c>
      <c r="E1" s="1"/>
    </row>
    <row r="2" spans="1:5" outlineLevel="2" x14ac:dyDescent="0.3">
      <c r="A2" s="1" t="s">
        <v>132</v>
      </c>
      <c r="B2" s="1" t="s">
        <v>133</v>
      </c>
      <c r="C2" s="1" t="s">
        <v>131</v>
      </c>
      <c r="D2" s="1">
        <v>646</v>
      </c>
      <c r="E2" s="1"/>
    </row>
    <row r="3" spans="1:5" outlineLevel="2" x14ac:dyDescent="0.3">
      <c r="A3" s="1" t="s">
        <v>132</v>
      </c>
      <c r="B3" s="1" t="s">
        <v>143</v>
      </c>
      <c r="C3" s="1" t="s">
        <v>144</v>
      </c>
      <c r="D3" s="1">
        <v>226</v>
      </c>
      <c r="E3" s="1"/>
    </row>
    <row r="4" spans="1:5" outlineLevel="2" x14ac:dyDescent="0.3">
      <c r="A4" s="1" t="s">
        <v>132</v>
      </c>
      <c r="B4" s="1" t="s">
        <v>153</v>
      </c>
      <c r="C4" s="1" t="s">
        <v>154</v>
      </c>
      <c r="D4" s="1">
        <v>638</v>
      </c>
      <c r="E4" s="1"/>
    </row>
    <row r="5" spans="1:5" outlineLevel="2" x14ac:dyDescent="0.3">
      <c r="A5" s="1" t="s">
        <v>132</v>
      </c>
      <c r="B5" s="1" t="s">
        <v>163</v>
      </c>
      <c r="C5" s="1" t="s">
        <v>164</v>
      </c>
      <c r="D5" s="1">
        <v>771</v>
      </c>
      <c r="E5" s="1"/>
    </row>
    <row r="6" spans="1:5" outlineLevel="2" x14ac:dyDescent="0.3">
      <c r="A6" s="1" t="s">
        <v>132</v>
      </c>
      <c r="B6" s="1" t="s">
        <v>173</v>
      </c>
      <c r="C6" s="1" t="s">
        <v>174</v>
      </c>
      <c r="D6" s="1">
        <v>744</v>
      </c>
      <c r="E6" s="1"/>
    </row>
    <row r="7" spans="1:5" outlineLevel="2" x14ac:dyDescent="0.3">
      <c r="A7" s="1" t="s">
        <v>132</v>
      </c>
      <c r="B7" s="1" t="s">
        <v>182</v>
      </c>
      <c r="C7" s="1" t="s">
        <v>183</v>
      </c>
      <c r="D7" s="1">
        <v>239</v>
      </c>
      <c r="E7" s="1"/>
    </row>
    <row r="8" spans="1:5" outlineLevel="1" x14ac:dyDescent="0.3">
      <c r="A8" s="40" t="s">
        <v>192</v>
      </c>
      <c r="B8" s="1"/>
      <c r="C8" s="1"/>
      <c r="D8" s="1">
        <f>SUBTOTAL(9,D2:D7)</f>
        <v>3264</v>
      </c>
      <c r="E8" s="1"/>
    </row>
    <row r="9" spans="1:5" outlineLevel="2" x14ac:dyDescent="0.3">
      <c r="A9" s="1" t="s">
        <v>137</v>
      </c>
      <c r="B9" s="1" t="s">
        <v>155</v>
      </c>
      <c r="C9" s="1" t="s">
        <v>156</v>
      </c>
      <c r="D9" s="1">
        <v>301</v>
      </c>
      <c r="E9" s="1"/>
    </row>
    <row r="10" spans="1:5" outlineLevel="2" x14ac:dyDescent="0.3">
      <c r="A10" s="1" t="s">
        <v>137</v>
      </c>
      <c r="B10" s="1" t="s">
        <v>184</v>
      </c>
      <c r="C10" s="1" t="s">
        <v>185</v>
      </c>
      <c r="D10" s="1">
        <v>920</v>
      </c>
      <c r="E10" s="1"/>
    </row>
    <row r="11" spans="1:5" outlineLevel="2" x14ac:dyDescent="0.3">
      <c r="A11" s="1" t="s">
        <v>137</v>
      </c>
      <c r="B11" s="1" t="s">
        <v>165</v>
      </c>
      <c r="C11" s="1" t="s">
        <v>166</v>
      </c>
      <c r="D11" s="1">
        <v>662</v>
      </c>
      <c r="E11" s="1"/>
    </row>
    <row r="12" spans="1:5" outlineLevel="2" x14ac:dyDescent="0.3">
      <c r="A12" s="1" t="s">
        <v>137</v>
      </c>
      <c r="B12" s="1" t="s">
        <v>175</v>
      </c>
      <c r="C12" s="1" t="s">
        <v>176</v>
      </c>
      <c r="D12" s="1">
        <v>578</v>
      </c>
      <c r="E12" s="1"/>
    </row>
    <row r="13" spans="1:5" outlineLevel="2" x14ac:dyDescent="0.3">
      <c r="A13" s="1" t="s">
        <v>137</v>
      </c>
      <c r="B13" s="1" t="s">
        <v>147</v>
      </c>
      <c r="C13" s="1" t="s">
        <v>148</v>
      </c>
      <c r="D13" s="1">
        <v>458</v>
      </c>
      <c r="E13" s="1"/>
    </row>
    <row r="14" spans="1:5" outlineLevel="2" x14ac:dyDescent="0.3">
      <c r="A14" s="1" t="s">
        <v>137</v>
      </c>
      <c r="B14" s="1" t="s">
        <v>138</v>
      </c>
      <c r="C14" s="1" t="s">
        <v>139</v>
      </c>
      <c r="D14" s="1">
        <v>721</v>
      </c>
      <c r="E14" s="1"/>
    </row>
    <row r="15" spans="1:5" outlineLevel="1" x14ac:dyDescent="0.3">
      <c r="A15" s="40" t="s">
        <v>193</v>
      </c>
      <c r="B15" s="1"/>
      <c r="C15" s="1"/>
      <c r="D15" s="1">
        <f>SUBTOTAL(9,D9:D14)</f>
        <v>3640</v>
      </c>
      <c r="E15" s="1"/>
    </row>
    <row r="16" spans="1:5" outlineLevel="2" x14ac:dyDescent="0.3">
      <c r="A16" s="1" t="s">
        <v>129</v>
      </c>
      <c r="B16" s="1" t="s">
        <v>130</v>
      </c>
      <c r="C16" s="1" t="s">
        <v>131</v>
      </c>
      <c r="D16" s="1">
        <v>694</v>
      </c>
      <c r="E16" s="1"/>
    </row>
    <row r="17" spans="1:5" outlineLevel="2" x14ac:dyDescent="0.3">
      <c r="A17" s="1" t="s">
        <v>129</v>
      </c>
      <c r="B17" s="1" t="s">
        <v>169</v>
      </c>
      <c r="C17" s="1" t="s">
        <v>170</v>
      </c>
      <c r="D17" s="1">
        <v>951</v>
      </c>
      <c r="E17" s="1"/>
    </row>
    <row r="18" spans="1:5" outlineLevel="2" x14ac:dyDescent="0.3">
      <c r="A18" s="1" t="s">
        <v>129</v>
      </c>
      <c r="B18" s="1" t="s">
        <v>149</v>
      </c>
      <c r="C18" s="1" t="s">
        <v>150</v>
      </c>
      <c r="D18" s="1">
        <v>777</v>
      </c>
      <c r="E18" s="1"/>
    </row>
    <row r="19" spans="1:5" outlineLevel="2" x14ac:dyDescent="0.3">
      <c r="A19" s="1" t="s">
        <v>129</v>
      </c>
      <c r="B19" s="1" t="s">
        <v>159</v>
      </c>
      <c r="C19" s="1" t="s">
        <v>160</v>
      </c>
      <c r="D19" s="1">
        <v>382</v>
      </c>
      <c r="E19" s="1"/>
    </row>
    <row r="20" spans="1:5" outlineLevel="2" x14ac:dyDescent="0.3">
      <c r="A20" s="1" t="s">
        <v>129</v>
      </c>
      <c r="B20" s="1" t="s">
        <v>179</v>
      </c>
      <c r="C20" s="1" t="s">
        <v>144</v>
      </c>
      <c r="D20" s="1">
        <v>487</v>
      </c>
      <c r="E20" s="1"/>
    </row>
    <row r="21" spans="1:5" outlineLevel="2" x14ac:dyDescent="0.3">
      <c r="A21" s="1" t="s">
        <v>129</v>
      </c>
      <c r="B21" s="1" t="s">
        <v>188</v>
      </c>
      <c r="C21" s="1" t="s">
        <v>189</v>
      </c>
      <c r="D21" s="1">
        <v>365</v>
      </c>
      <c r="E21" s="1"/>
    </row>
    <row r="22" spans="1:5" outlineLevel="1" x14ac:dyDescent="0.3">
      <c r="A22" s="40" t="s">
        <v>194</v>
      </c>
      <c r="B22" s="1"/>
      <c r="C22" s="1"/>
      <c r="D22" s="1">
        <f>SUBTOTAL(9,D16:D21)</f>
        <v>3656</v>
      </c>
      <c r="E22" s="1"/>
    </row>
    <row r="23" spans="1:5" outlineLevel="2" x14ac:dyDescent="0.3">
      <c r="A23" s="1" t="s">
        <v>140</v>
      </c>
      <c r="B23" s="1" t="s">
        <v>151</v>
      </c>
      <c r="C23" s="1" t="s">
        <v>152</v>
      </c>
      <c r="D23" s="1">
        <v>690</v>
      </c>
      <c r="E23" s="1"/>
    </row>
    <row r="24" spans="1:5" outlineLevel="2" x14ac:dyDescent="0.3">
      <c r="A24" s="1" t="s">
        <v>140</v>
      </c>
      <c r="B24" s="1" t="s">
        <v>161</v>
      </c>
      <c r="C24" s="1" t="s">
        <v>162</v>
      </c>
      <c r="D24" s="1">
        <v>529</v>
      </c>
      <c r="E24" s="1"/>
    </row>
    <row r="25" spans="1:5" outlineLevel="2" x14ac:dyDescent="0.3">
      <c r="A25" s="1" t="s">
        <v>140</v>
      </c>
      <c r="B25" s="1" t="s">
        <v>141</v>
      </c>
      <c r="C25" s="1" t="s">
        <v>142</v>
      </c>
      <c r="D25" s="1">
        <v>884</v>
      </c>
      <c r="E25" s="1"/>
    </row>
    <row r="26" spans="1:5" outlineLevel="2" x14ac:dyDescent="0.3">
      <c r="A26" s="1" t="s">
        <v>140</v>
      </c>
      <c r="B26" s="1" t="s">
        <v>190</v>
      </c>
      <c r="C26" s="1" t="s">
        <v>191</v>
      </c>
      <c r="D26" s="1">
        <v>812</v>
      </c>
      <c r="E26" s="1"/>
    </row>
    <row r="27" spans="1:5" outlineLevel="2" x14ac:dyDescent="0.3">
      <c r="A27" s="1" t="s">
        <v>140</v>
      </c>
      <c r="B27" s="1" t="s">
        <v>180</v>
      </c>
      <c r="C27" s="1" t="s">
        <v>181</v>
      </c>
      <c r="D27" s="1">
        <v>735</v>
      </c>
      <c r="E27" s="1"/>
    </row>
    <row r="28" spans="1:5" outlineLevel="2" x14ac:dyDescent="0.3">
      <c r="A28" s="1" t="s">
        <v>140</v>
      </c>
      <c r="B28" s="1" t="s">
        <v>171</v>
      </c>
      <c r="C28" s="1" t="s">
        <v>172</v>
      </c>
      <c r="D28" s="1">
        <v>843</v>
      </c>
      <c r="E28" s="1"/>
    </row>
    <row r="29" spans="1:5" outlineLevel="1" x14ac:dyDescent="0.3">
      <c r="A29" s="40" t="s">
        <v>195</v>
      </c>
      <c r="B29" s="1"/>
      <c r="C29" s="1"/>
      <c r="D29" s="1">
        <f>SUBTOTAL(9,D23:D28)</f>
        <v>4493</v>
      </c>
      <c r="E29" s="1"/>
    </row>
    <row r="30" spans="1:5" hidden="1" outlineLevel="2" x14ac:dyDescent="0.3">
      <c r="A30" s="1" t="s">
        <v>134</v>
      </c>
      <c r="B30" s="1" t="s">
        <v>177</v>
      </c>
      <c r="C30" s="1" t="s">
        <v>178</v>
      </c>
      <c r="D30" s="1">
        <v>699</v>
      </c>
      <c r="E30" s="1"/>
    </row>
    <row r="31" spans="1:5" hidden="1" outlineLevel="2" x14ac:dyDescent="0.3">
      <c r="A31" s="1" t="s">
        <v>134</v>
      </c>
      <c r="B31" s="1" t="s">
        <v>186</v>
      </c>
      <c r="C31" s="1" t="s">
        <v>187</v>
      </c>
      <c r="D31" s="1">
        <v>506</v>
      </c>
      <c r="E31" s="1"/>
    </row>
    <row r="32" spans="1:5" hidden="1" outlineLevel="2" x14ac:dyDescent="0.3">
      <c r="A32" s="1" t="s">
        <v>134</v>
      </c>
      <c r="B32" s="1" t="s">
        <v>135</v>
      </c>
      <c r="C32" s="1" t="s">
        <v>136</v>
      </c>
      <c r="D32" s="1">
        <v>532</v>
      </c>
      <c r="E32" s="1"/>
    </row>
    <row r="33" spans="1:5" hidden="1" outlineLevel="2" x14ac:dyDescent="0.3">
      <c r="A33" s="1" t="s">
        <v>134</v>
      </c>
      <c r="B33" s="1" t="s">
        <v>145</v>
      </c>
      <c r="C33" s="1" t="s">
        <v>146</v>
      </c>
      <c r="D33" s="1">
        <v>615</v>
      </c>
      <c r="E33" s="1"/>
    </row>
    <row r="34" spans="1:5" hidden="1" outlineLevel="2" x14ac:dyDescent="0.3">
      <c r="A34" s="1" t="s">
        <v>134</v>
      </c>
      <c r="B34" s="1" t="s">
        <v>167</v>
      </c>
      <c r="C34" s="1" t="s">
        <v>168</v>
      </c>
      <c r="D34" s="1">
        <v>418</v>
      </c>
      <c r="E34" s="1"/>
    </row>
    <row r="35" spans="1:5" hidden="1" outlineLevel="2" x14ac:dyDescent="0.3">
      <c r="A35" s="1" t="s">
        <v>134</v>
      </c>
      <c r="B35" s="1" t="s">
        <v>157</v>
      </c>
      <c r="C35" s="1" t="s">
        <v>158</v>
      </c>
      <c r="D35" s="1">
        <v>745</v>
      </c>
      <c r="E35" s="1"/>
    </row>
    <row r="36" spans="1:5" outlineLevel="1" collapsed="1" x14ac:dyDescent="0.3">
      <c r="A36" s="40" t="s">
        <v>196</v>
      </c>
      <c r="B36" s="1"/>
      <c r="C36" s="1"/>
      <c r="D36" s="1">
        <f>SUBTOTAL(9,D30:D35)</f>
        <v>3515</v>
      </c>
      <c r="E36" s="1"/>
    </row>
    <row r="37" spans="1:5" x14ac:dyDescent="0.3">
      <c r="A37" s="40" t="s">
        <v>197</v>
      </c>
      <c r="B37" s="1"/>
      <c r="C37" s="1"/>
      <c r="D37" s="1">
        <f>SUBTOTAL(9,D2:D35)</f>
        <v>18568</v>
      </c>
      <c r="E37" s="1"/>
    </row>
    <row r="38" spans="1:5" x14ac:dyDescent="0.3">
      <c r="A38" s="1"/>
      <c r="B38" s="1"/>
      <c r="C38" s="1"/>
      <c r="D38" s="1"/>
      <c r="E38" s="1"/>
    </row>
    <row r="39" spans="1:5" x14ac:dyDescent="0.3">
      <c r="A39" s="40"/>
    </row>
    <row r="40" spans="1:5" x14ac:dyDescent="0.3">
      <c r="A40" s="40"/>
    </row>
    <row r="41" spans="1:5" x14ac:dyDescent="0.3">
      <c r="A41" s="40"/>
    </row>
    <row r="42" spans="1:5" x14ac:dyDescent="0.3">
      <c r="A42" s="40"/>
    </row>
    <row r="43" spans="1:5" x14ac:dyDescent="0.3">
      <c r="A43" s="40"/>
    </row>
    <row r="44" spans="1:5" x14ac:dyDescent="0.3">
      <c r="A44" s="40"/>
    </row>
  </sheetData>
  <sortState xmlns:xlrd2="http://schemas.microsoft.com/office/spreadsheetml/2017/richdata2" ref="A2:D35">
    <sortCondition ref="A2:A35"/>
    <sortCondition ref="B2:B35"/>
    <sortCondition ref="C2:C35"/>
  </sortState>
  <phoneticPr fontId="6"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82D84-792E-4E99-A4B9-D8DF7CB43D7A}">
  <dimension ref="A3:B44"/>
  <sheetViews>
    <sheetView topLeftCell="A4" workbookViewId="0">
      <selection activeCell="B8" sqref="B8"/>
    </sheetView>
  </sheetViews>
  <sheetFormatPr defaultRowHeight="14.4" x14ac:dyDescent="0.3"/>
  <cols>
    <col min="1" max="1" width="15.109375" bestFit="1" customWidth="1"/>
    <col min="2" max="2" width="12.6640625" bestFit="1" customWidth="1"/>
    <col min="3" max="3" width="10.6640625" bestFit="1" customWidth="1"/>
    <col min="4" max="4" width="12.6640625" bestFit="1" customWidth="1"/>
  </cols>
  <sheetData>
    <row r="3" spans="1:2" x14ac:dyDescent="0.3">
      <c r="A3" s="100" t="s">
        <v>198</v>
      </c>
      <c r="B3" t="s">
        <v>199</v>
      </c>
    </row>
    <row r="4" spans="1:2" x14ac:dyDescent="0.3">
      <c r="A4" s="101" t="s">
        <v>132</v>
      </c>
      <c r="B4" s="102"/>
    </row>
    <row r="5" spans="1:2" x14ac:dyDescent="0.3">
      <c r="A5" s="103" t="s">
        <v>133</v>
      </c>
      <c r="B5" s="102">
        <v>646</v>
      </c>
    </row>
    <row r="6" spans="1:2" x14ac:dyDescent="0.3">
      <c r="A6" s="103" t="s">
        <v>143</v>
      </c>
      <c r="B6" s="102">
        <v>226</v>
      </c>
    </row>
    <row r="7" spans="1:2" x14ac:dyDescent="0.3">
      <c r="A7" s="103" t="s">
        <v>153</v>
      </c>
      <c r="B7" s="102">
        <v>638</v>
      </c>
    </row>
    <row r="8" spans="1:2" x14ac:dyDescent="0.3">
      <c r="A8" s="103" t="s">
        <v>163</v>
      </c>
      <c r="B8" s="102">
        <v>771</v>
      </c>
    </row>
    <row r="9" spans="1:2" x14ac:dyDescent="0.3">
      <c r="A9" s="103" t="s">
        <v>173</v>
      </c>
      <c r="B9" s="102">
        <v>744</v>
      </c>
    </row>
    <row r="10" spans="1:2" x14ac:dyDescent="0.3">
      <c r="A10" s="103" t="s">
        <v>182</v>
      </c>
      <c r="B10" s="102">
        <v>239</v>
      </c>
    </row>
    <row r="11" spans="1:2" x14ac:dyDescent="0.3">
      <c r="A11" s="101" t="s">
        <v>192</v>
      </c>
      <c r="B11" s="102">
        <v>3264</v>
      </c>
    </row>
    <row r="12" spans="1:2" x14ac:dyDescent="0.3">
      <c r="A12" s="101" t="s">
        <v>137</v>
      </c>
      <c r="B12" s="102"/>
    </row>
    <row r="13" spans="1:2" x14ac:dyDescent="0.3">
      <c r="A13" s="103" t="s">
        <v>155</v>
      </c>
      <c r="B13" s="102">
        <v>301</v>
      </c>
    </row>
    <row r="14" spans="1:2" x14ac:dyDescent="0.3">
      <c r="A14" s="103" t="s">
        <v>184</v>
      </c>
      <c r="B14" s="102">
        <v>920</v>
      </c>
    </row>
    <row r="15" spans="1:2" x14ac:dyDescent="0.3">
      <c r="A15" s="103" t="s">
        <v>165</v>
      </c>
      <c r="B15" s="102">
        <v>662</v>
      </c>
    </row>
    <row r="16" spans="1:2" x14ac:dyDescent="0.3">
      <c r="A16" s="103" t="s">
        <v>175</v>
      </c>
      <c r="B16" s="102">
        <v>578</v>
      </c>
    </row>
    <row r="17" spans="1:2" x14ac:dyDescent="0.3">
      <c r="A17" s="103" t="s">
        <v>147</v>
      </c>
      <c r="B17" s="102">
        <v>458</v>
      </c>
    </row>
    <row r="18" spans="1:2" x14ac:dyDescent="0.3">
      <c r="A18" s="103" t="s">
        <v>138</v>
      </c>
      <c r="B18" s="102">
        <v>721</v>
      </c>
    </row>
    <row r="19" spans="1:2" x14ac:dyDescent="0.3">
      <c r="A19" s="101" t="s">
        <v>193</v>
      </c>
      <c r="B19" s="102">
        <v>3640</v>
      </c>
    </row>
    <row r="20" spans="1:2" x14ac:dyDescent="0.3">
      <c r="A20" s="101" t="s">
        <v>129</v>
      </c>
      <c r="B20" s="102"/>
    </row>
    <row r="21" spans="1:2" x14ac:dyDescent="0.3">
      <c r="A21" s="103" t="s">
        <v>130</v>
      </c>
      <c r="B21" s="102">
        <v>694</v>
      </c>
    </row>
    <row r="22" spans="1:2" x14ac:dyDescent="0.3">
      <c r="A22" s="103" t="s">
        <v>169</v>
      </c>
      <c r="B22" s="102">
        <v>951</v>
      </c>
    </row>
    <row r="23" spans="1:2" x14ac:dyDescent="0.3">
      <c r="A23" s="103" t="s">
        <v>149</v>
      </c>
      <c r="B23" s="102">
        <v>777</v>
      </c>
    </row>
    <row r="24" spans="1:2" x14ac:dyDescent="0.3">
      <c r="A24" s="103" t="s">
        <v>159</v>
      </c>
      <c r="B24" s="102">
        <v>382</v>
      </c>
    </row>
    <row r="25" spans="1:2" x14ac:dyDescent="0.3">
      <c r="A25" s="103" t="s">
        <v>179</v>
      </c>
      <c r="B25" s="102">
        <v>487</v>
      </c>
    </row>
    <row r="26" spans="1:2" x14ac:dyDescent="0.3">
      <c r="A26" s="103" t="s">
        <v>188</v>
      </c>
      <c r="B26" s="102">
        <v>365</v>
      </c>
    </row>
    <row r="27" spans="1:2" x14ac:dyDescent="0.3">
      <c r="A27" s="101" t="s">
        <v>194</v>
      </c>
      <c r="B27" s="102">
        <v>3656</v>
      </c>
    </row>
    <row r="28" spans="1:2" x14ac:dyDescent="0.3">
      <c r="A28" s="101" t="s">
        <v>140</v>
      </c>
      <c r="B28" s="102"/>
    </row>
    <row r="29" spans="1:2" x14ac:dyDescent="0.3">
      <c r="A29" s="103" t="s">
        <v>151</v>
      </c>
      <c r="B29" s="102">
        <v>690</v>
      </c>
    </row>
    <row r="30" spans="1:2" x14ac:dyDescent="0.3">
      <c r="A30" s="103" t="s">
        <v>161</v>
      </c>
      <c r="B30" s="102">
        <v>529</v>
      </c>
    </row>
    <row r="31" spans="1:2" x14ac:dyDescent="0.3">
      <c r="A31" s="103" t="s">
        <v>141</v>
      </c>
      <c r="B31" s="102">
        <v>884</v>
      </c>
    </row>
    <row r="32" spans="1:2" x14ac:dyDescent="0.3">
      <c r="A32" s="103" t="s">
        <v>190</v>
      </c>
      <c r="B32" s="102">
        <v>812</v>
      </c>
    </row>
    <row r="33" spans="1:2" x14ac:dyDescent="0.3">
      <c r="A33" s="103" t="s">
        <v>180</v>
      </c>
      <c r="B33" s="102">
        <v>735</v>
      </c>
    </row>
    <row r="34" spans="1:2" x14ac:dyDescent="0.3">
      <c r="A34" s="103" t="s">
        <v>171</v>
      </c>
      <c r="B34" s="102">
        <v>843</v>
      </c>
    </row>
    <row r="35" spans="1:2" x14ac:dyDescent="0.3">
      <c r="A35" s="101" t="s">
        <v>195</v>
      </c>
      <c r="B35" s="102">
        <v>4493</v>
      </c>
    </row>
    <row r="36" spans="1:2" x14ac:dyDescent="0.3">
      <c r="A36" s="101" t="s">
        <v>134</v>
      </c>
      <c r="B36" s="102"/>
    </row>
    <row r="37" spans="1:2" x14ac:dyDescent="0.3">
      <c r="A37" s="103" t="s">
        <v>177</v>
      </c>
      <c r="B37" s="102">
        <v>699</v>
      </c>
    </row>
    <row r="38" spans="1:2" x14ac:dyDescent="0.3">
      <c r="A38" s="103" t="s">
        <v>186</v>
      </c>
      <c r="B38" s="102">
        <v>506</v>
      </c>
    </row>
    <row r="39" spans="1:2" x14ac:dyDescent="0.3">
      <c r="A39" s="103" t="s">
        <v>135</v>
      </c>
      <c r="B39" s="102">
        <v>532</v>
      </c>
    </row>
    <row r="40" spans="1:2" x14ac:dyDescent="0.3">
      <c r="A40" s="103" t="s">
        <v>145</v>
      </c>
      <c r="B40" s="102">
        <v>615</v>
      </c>
    </row>
    <row r="41" spans="1:2" x14ac:dyDescent="0.3">
      <c r="A41" s="103" t="s">
        <v>167</v>
      </c>
      <c r="B41" s="102">
        <v>418</v>
      </c>
    </row>
    <row r="42" spans="1:2" x14ac:dyDescent="0.3">
      <c r="A42" s="103" t="s">
        <v>157</v>
      </c>
      <c r="B42" s="102">
        <v>745</v>
      </c>
    </row>
    <row r="43" spans="1:2" x14ac:dyDescent="0.3">
      <c r="A43" s="101" t="s">
        <v>196</v>
      </c>
      <c r="B43" s="102">
        <v>3515</v>
      </c>
    </row>
    <row r="44" spans="1:2" x14ac:dyDescent="0.3">
      <c r="A44" s="101" t="s">
        <v>197</v>
      </c>
      <c r="B44" s="102">
        <v>18568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366CB-3E1F-4683-8C9B-5C2B886A2ABA}">
  <dimension ref="A1:D31"/>
  <sheetViews>
    <sheetView workbookViewId="0">
      <selection activeCell="I10" sqref="I9:I10"/>
    </sheetView>
  </sheetViews>
  <sheetFormatPr defaultRowHeight="14.4" x14ac:dyDescent="0.3"/>
  <cols>
    <col min="1" max="1" width="9.88671875" customWidth="1"/>
    <col min="2" max="2" width="11.21875" customWidth="1"/>
    <col min="3" max="3" width="10.6640625" customWidth="1"/>
  </cols>
  <sheetData>
    <row r="1" spans="1:4" x14ac:dyDescent="0.3">
      <c r="A1" s="99" t="s">
        <v>126</v>
      </c>
      <c r="B1" s="99" t="s">
        <v>127</v>
      </c>
      <c r="C1" s="99" t="s">
        <v>88</v>
      </c>
      <c r="D1" s="99" t="s">
        <v>128</v>
      </c>
    </row>
    <row r="2" spans="1:4" x14ac:dyDescent="0.3">
      <c r="A2" t="s">
        <v>132</v>
      </c>
      <c r="B2" t="s">
        <v>133</v>
      </c>
      <c r="C2" t="s">
        <v>131</v>
      </c>
      <c r="D2">
        <v>646</v>
      </c>
    </row>
    <row r="3" spans="1:4" x14ac:dyDescent="0.3">
      <c r="A3" t="s">
        <v>132</v>
      </c>
      <c r="B3" t="s">
        <v>143</v>
      </c>
      <c r="C3" t="s">
        <v>144</v>
      </c>
      <c r="D3">
        <v>226</v>
      </c>
    </row>
    <row r="4" spans="1:4" x14ac:dyDescent="0.3">
      <c r="A4" t="s">
        <v>132</v>
      </c>
      <c r="B4" t="s">
        <v>153</v>
      </c>
      <c r="C4" t="s">
        <v>154</v>
      </c>
      <c r="D4">
        <v>638</v>
      </c>
    </row>
    <row r="5" spans="1:4" x14ac:dyDescent="0.3">
      <c r="A5" t="s">
        <v>132</v>
      </c>
      <c r="B5" t="s">
        <v>163</v>
      </c>
      <c r="C5" t="s">
        <v>164</v>
      </c>
      <c r="D5">
        <v>771</v>
      </c>
    </row>
    <row r="6" spans="1:4" x14ac:dyDescent="0.3">
      <c r="A6" t="s">
        <v>132</v>
      </c>
      <c r="B6" t="s">
        <v>173</v>
      </c>
      <c r="C6" t="s">
        <v>174</v>
      </c>
      <c r="D6">
        <v>744</v>
      </c>
    </row>
    <row r="7" spans="1:4" x14ac:dyDescent="0.3">
      <c r="A7" t="s">
        <v>132</v>
      </c>
      <c r="B7" t="s">
        <v>182</v>
      </c>
      <c r="C7" t="s">
        <v>183</v>
      </c>
      <c r="D7">
        <v>239</v>
      </c>
    </row>
    <row r="8" spans="1:4" x14ac:dyDescent="0.3">
      <c r="A8" t="s">
        <v>137</v>
      </c>
      <c r="B8" t="s">
        <v>138</v>
      </c>
      <c r="C8" t="s">
        <v>139</v>
      </c>
      <c r="D8">
        <v>721</v>
      </c>
    </row>
    <row r="9" spans="1:4" x14ac:dyDescent="0.3">
      <c r="A9" t="s">
        <v>137</v>
      </c>
      <c r="B9" t="s">
        <v>147</v>
      </c>
      <c r="C9" t="s">
        <v>148</v>
      </c>
      <c r="D9">
        <v>458</v>
      </c>
    </row>
    <row r="10" spans="1:4" x14ac:dyDescent="0.3">
      <c r="A10" t="s">
        <v>137</v>
      </c>
      <c r="B10" t="s">
        <v>155</v>
      </c>
      <c r="C10" t="s">
        <v>156</v>
      </c>
      <c r="D10">
        <v>301</v>
      </c>
    </row>
    <row r="11" spans="1:4" x14ac:dyDescent="0.3">
      <c r="A11" t="s">
        <v>137</v>
      </c>
      <c r="B11" t="s">
        <v>165</v>
      </c>
      <c r="C11" t="s">
        <v>166</v>
      </c>
      <c r="D11">
        <v>662</v>
      </c>
    </row>
    <row r="12" spans="1:4" x14ac:dyDescent="0.3">
      <c r="A12" t="s">
        <v>137</v>
      </c>
      <c r="B12" t="s">
        <v>175</v>
      </c>
      <c r="C12" t="s">
        <v>176</v>
      </c>
      <c r="D12">
        <v>578</v>
      </c>
    </row>
    <row r="13" spans="1:4" x14ac:dyDescent="0.3">
      <c r="A13" t="s">
        <v>137</v>
      </c>
      <c r="B13" t="s">
        <v>184</v>
      </c>
      <c r="C13" t="s">
        <v>185</v>
      </c>
      <c r="D13">
        <v>920</v>
      </c>
    </row>
    <row r="14" spans="1:4" x14ac:dyDescent="0.3">
      <c r="A14" t="s">
        <v>129</v>
      </c>
      <c r="B14" t="s">
        <v>130</v>
      </c>
      <c r="C14" t="s">
        <v>131</v>
      </c>
      <c r="D14">
        <v>694</v>
      </c>
    </row>
    <row r="15" spans="1:4" x14ac:dyDescent="0.3">
      <c r="A15" t="s">
        <v>129</v>
      </c>
      <c r="B15" t="s">
        <v>149</v>
      </c>
      <c r="C15" t="s">
        <v>150</v>
      </c>
      <c r="D15">
        <v>777</v>
      </c>
    </row>
    <row r="16" spans="1:4" x14ac:dyDescent="0.3">
      <c r="A16" t="s">
        <v>129</v>
      </c>
      <c r="B16" t="s">
        <v>159</v>
      </c>
      <c r="C16" t="s">
        <v>160</v>
      </c>
      <c r="D16">
        <v>382</v>
      </c>
    </row>
    <row r="17" spans="1:4" x14ac:dyDescent="0.3">
      <c r="A17" t="s">
        <v>129</v>
      </c>
      <c r="B17" t="s">
        <v>169</v>
      </c>
      <c r="C17" t="s">
        <v>170</v>
      </c>
      <c r="D17">
        <v>951</v>
      </c>
    </row>
    <row r="18" spans="1:4" x14ac:dyDescent="0.3">
      <c r="A18" t="s">
        <v>129</v>
      </c>
      <c r="B18" t="s">
        <v>179</v>
      </c>
      <c r="C18" t="s">
        <v>144</v>
      </c>
      <c r="D18">
        <v>487</v>
      </c>
    </row>
    <row r="19" spans="1:4" x14ac:dyDescent="0.3">
      <c r="A19" t="s">
        <v>129</v>
      </c>
      <c r="B19" t="s">
        <v>188</v>
      </c>
      <c r="C19" t="s">
        <v>189</v>
      </c>
      <c r="D19">
        <v>365</v>
      </c>
    </row>
    <row r="20" spans="1:4" x14ac:dyDescent="0.3">
      <c r="A20" t="s">
        <v>140</v>
      </c>
      <c r="B20" t="s">
        <v>141</v>
      </c>
      <c r="C20" t="s">
        <v>142</v>
      </c>
      <c r="D20">
        <v>884</v>
      </c>
    </row>
    <row r="21" spans="1:4" x14ac:dyDescent="0.3">
      <c r="A21" t="s">
        <v>140</v>
      </c>
      <c r="B21" t="s">
        <v>151</v>
      </c>
      <c r="C21" t="s">
        <v>152</v>
      </c>
      <c r="D21">
        <v>690</v>
      </c>
    </row>
    <row r="22" spans="1:4" x14ac:dyDescent="0.3">
      <c r="A22" t="s">
        <v>140</v>
      </c>
      <c r="B22" t="s">
        <v>161</v>
      </c>
      <c r="C22" t="s">
        <v>162</v>
      </c>
      <c r="D22">
        <v>529</v>
      </c>
    </row>
    <row r="23" spans="1:4" x14ac:dyDescent="0.3">
      <c r="A23" t="s">
        <v>140</v>
      </c>
      <c r="B23" t="s">
        <v>171</v>
      </c>
      <c r="C23" t="s">
        <v>172</v>
      </c>
      <c r="D23">
        <v>843</v>
      </c>
    </row>
    <row r="24" spans="1:4" x14ac:dyDescent="0.3">
      <c r="A24" t="s">
        <v>140</v>
      </c>
      <c r="B24" t="s">
        <v>180</v>
      </c>
      <c r="C24" t="s">
        <v>181</v>
      </c>
      <c r="D24">
        <v>735</v>
      </c>
    </row>
    <row r="25" spans="1:4" x14ac:dyDescent="0.3">
      <c r="A25" t="s">
        <v>140</v>
      </c>
      <c r="B25" t="s">
        <v>190</v>
      </c>
      <c r="C25" t="s">
        <v>191</v>
      </c>
      <c r="D25">
        <v>812</v>
      </c>
    </row>
    <row r="26" spans="1:4" x14ac:dyDescent="0.3">
      <c r="A26" t="s">
        <v>134</v>
      </c>
      <c r="B26" t="s">
        <v>135</v>
      </c>
      <c r="C26" t="s">
        <v>136</v>
      </c>
      <c r="D26">
        <v>532</v>
      </c>
    </row>
    <row r="27" spans="1:4" x14ac:dyDescent="0.3">
      <c r="A27" t="s">
        <v>134</v>
      </c>
      <c r="B27" t="s">
        <v>145</v>
      </c>
      <c r="C27" t="s">
        <v>146</v>
      </c>
      <c r="D27">
        <v>615</v>
      </c>
    </row>
    <row r="28" spans="1:4" x14ac:dyDescent="0.3">
      <c r="A28" t="s">
        <v>134</v>
      </c>
      <c r="B28" t="s">
        <v>157</v>
      </c>
      <c r="C28" t="s">
        <v>158</v>
      </c>
      <c r="D28">
        <v>745</v>
      </c>
    </row>
    <row r="29" spans="1:4" x14ac:dyDescent="0.3">
      <c r="A29" t="s">
        <v>134</v>
      </c>
      <c r="B29" t="s">
        <v>167</v>
      </c>
      <c r="C29" t="s">
        <v>168</v>
      </c>
      <c r="D29">
        <v>418</v>
      </c>
    </row>
    <row r="30" spans="1:4" x14ac:dyDescent="0.3">
      <c r="A30" t="s">
        <v>134</v>
      </c>
      <c r="B30" t="s">
        <v>177</v>
      </c>
      <c r="C30" t="s">
        <v>178</v>
      </c>
      <c r="D30">
        <v>699</v>
      </c>
    </row>
    <row r="31" spans="1:4" x14ac:dyDescent="0.3">
      <c r="A31" t="s">
        <v>134</v>
      </c>
      <c r="B31" t="s">
        <v>186</v>
      </c>
      <c r="C31" t="s">
        <v>187</v>
      </c>
      <c r="D31">
        <v>506</v>
      </c>
    </row>
  </sheetData>
  <sortState xmlns:xlrd2="http://schemas.microsoft.com/office/spreadsheetml/2017/richdata2" ref="A2:D31">
    <sortCondition ref="A2:A31"/>
  </sortState>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6EE83-8E0E-4AD8-A50F-7D30CE59DC49}">
  <dimension ref="A1:B10"/>
  <sheetViews>
    <sheetView workbookViewId="0"/>
  </sheetViews>
  <sheetFormatPr defaultRowHeight="14.4" x14ac:dyDescent="0.3"/>
  <cols>
    <col min="1" max="1" width="12.77734375" bestFit="1" customWidth="1"/>
    <col min="2" max="2" width="14.6640625" bestFit="1" customWidth="1"/>
  </cols>
  <sheetData>
    <row r="1" spans="1:2" x14ac:dyDescent="0.3">
      <c r="A1" s="100" t="s">
        <v>203</v>
      </c>
      <c r="B1" t="s">
        <v>207</v>
      </c>
    </row>
    <row r="3" spans="1:2" x14ac:dyDescent="0.3">
      <c r="A3" s="100" t="s">
        <v>198</v>
      </c>
      <c r="B3" t="s">
        <v>235</v>
      </c>
    </row>
    <row r="4" spans="1:2" x14ac:dyDescent="0.3">
      <c r="A4" s="101" t="s">
        <v>228</v>
      </c>
      <c r="B4" s="102">
        <v>3400</v>
      </c>
    </row>
    <row r="5" spans="1:2" x14ac:dyDescent="0.3">
      <c r="A5" s="101" t="s">
        <v>232</v>
      </c>
      <c r="B5" s="102">
        <v>3300</v>
      </c>
    </row>
    <row r="6" spans="1:2" x14ac:dyDescent="0.3">
      <c r="A6" s="101" t="s">
        <v>208</v>
      </c>
      <c r="B6" s="102">
        <v>1800</v>
      </c>
    </row>
    <row r="7" spans="1:2" x14ac:dyDescent="0.3">
      <c r="A7" s="101" t="s">
        <v>205</v>
      </c>
      <c r="B7" s="102">
        <v>3000</v>
      </c>
    </row>
    <row r="8" spans="1:2" x14ac:dyDescent="0.3">
      <c r="A8" s="101" t="s">
        <v>222</v>
      </c>
      <c r="B8" s="102">
        <v>2600</v>
      </c>
    </row>
    <row r="9" spans="1:2" x14ac:dyDescent="0.3">
      <c r="A9" s="101" t="s">
        <v>237</v>
      </c>
      <c r="B9" s="102">
        <v>2500</v>
      </c>
    </row>
    <row r="10" spans="1:2" x14ac:dyDescent="0.3">
      <c r="A10" s="101" t="s">
        <v>197</v>
      </c>
      <c r="B10" s="102">
        <v>16600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5EDC7-B961-4B79-862B-56184D1214F1}">
  <dimension ref="A1:B10"/>
  <sheetViews>
    <sheetView workbookViewId="0"/>
  </sheetViews>
  <sheetFormatPr defaultRowHeight="14.4" x14ac:dyDescent="0.3"/>
  <cols>
    <col min="1" max="1" width="16" bestFit="1" customWidth="1"/>
    <col min="2" max="2" width="13.33203125" bestFit="1" customWidth="1"/>
  </cols>
  <sheetData>
    <row r="1" spans="1:2" x14ac:dyDescent="0.3">
      <c r="A1" s="100" t="s">
        <v>203</v>
      </c>
      <c r="B1" t="s">
        <v>216</v>
      </c>
    </row>
    <row r="3" spans="1:2" x14ac:dyDescent="0.3">
      <c r="A3" s="100" t="s">
        <v>198</v>
      </c>
      <c r="B3" t="s">
        <v>235</v>
      </c>
    </row>
    <row r="4" spans="1:2" x14ac:dyDescent="0.3">
      <c r="A4" s="101" t="s">
        <v>218</v>
      </c>
      <c r="B4" s="102">
        <v>1850</v>
      </c>
    </row>
    <row r="5" spans="1:2" x14ac:dyDescent="0.3">
      <c r="A5" s="101" t="s">
        <v>215</v>
      </c>
      <c r="B5" s="102">
        <v>1850</v>
      </c>
    </row>
    <row r="6" spans="1:2" x14ac:dyDescent="0.3">
      <c r="A6" s="101" t="s">
        <v>233</v>
      </c>
      <c r="B6" s="102">
        <v>2950</v>
      </c>
    </row>
    <row r="7" spans="1:2" x14ac:dyDescent="0.3">
      <c r="A7" s="101" t="s">
        <v>217</v>
      </c>
      <c r="B7" s="102">
        <v>2850</v>
      </c>
    </row>
    <row r="8" spans="1:2" x14ac:dyDescent="0.3">
      <c r="A8" s="101" t="s">
        <v>229</v>
      </c>
      <c r="B8" s="102">
        <v>3100</v>
      </c>
    </row>
    <row r="9" spans="1:2" x14ac:dyDescent="0.3">
      <c r="A9" s="101" t="s">
        <v>225</v>
      </c>
      <c r="B9" s="102">
        <v>2900</v>
      </c>
    </row>
    <row r="10" spans="1:2" x14ac:dyDescent="0.3">
      <c r="A10" s="101" t="s">
        <v>197</v>
      </c>
      <c r="B10" s="102">
        <v>15500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665E2-70FB-49E0-9CE8-FD03474A8975}">
  <dimension ref="A1:B11"/>
  <sheetViews>
    <sheetView workbookViewId="0"/>
  </sheetViews>
  <sheetFormatPr defaultRowHeight="14.4" x14ac:dyDescent="0.3"/>
  <cols>
    <col min="1" max="1" width="13.5546875" bestFit="1" customWidth="1"/>
    <col min="2" max="2" width="13.33203125" bestFit="1" customWidth="1"/>
  </cols>
  <sheetData>
    <row r="1" spans="1:2" x14ac:dyDescent="0.3">
      <c r="A1" s="100" t="s">
        <v>203</v>
      </c>
      <c r="B1" t="s">
        <v>210</v>
      </c>
    </row>
    <row r="3" spans="1:2" x14ac:dyDescent="0.3">
      <c r="A3" s="100" t="s">
        <v>198</v>
      </c>
      <c r="B3" t="s">
        <v>235</v>
      </c>
    </row>
    <row r="4" spans="1:2" x14ac:dyDescent="0.3">
      <c r="A4" s="101" t="s">
        <v>224</v>
      </c>
      <c r="B4" s="102">
        <v>2750</v>
      </c>
    </row>
    <row r="5" spans="1:2" x14ac:dyDescent="0.3">
      <c r="A5" s="101" t="s">
        <v>230</v>
      </c>
      <c r="B5" s="102">
        <v>2100</v>
      </c>
    </row>
    <row r="6" spans="1:2" x14ac:dyDescent="0.3">
      <c r="A6" s="101" t="s">
        <v>213</v>
      </c>
      <c r="B6" s="102">
        <v>2500</v>
      </c>
    </row>
    <row r="7" spans="1:2" x14ac:dyDescent="0.3">
      <c r="A7" s="101" t="s">
        <v>226</v>
      </c>
      <c r="B7" s="102">
        <v>2400</v>
      </c>
    </row>
    <row r="8" spans="1:2" x14ac:dyDescent="0.3">
      <c r="A8" s="101" t="s">
        <v>211</v>
      </c>
      <c r="B8" s="102">
        <v>2200</v>
      </c>
    </row>
    <row r="9" spans="1:2" x14ac:dyDescent="0.3">
      <c r="A9" s="101" t="s">
        <v>214</v>
      </c>
      <c r="B9" s="102">
        <v>3000</v>
      </c>
    </row>
    <row r="10" spans="1:2" x14ac:dyDescent="0.3">
      <c r="A10" s="101" t="s">
        <v>209</v>
      </c>
      <c r="B10" s="102">
        <v>2200</v>
      </c>
    </row>
    <row r="11" spans="1:2" x14ac:dyDescent="0.3">
      <c r="A11" s="101" t="s">
        <v>197</v>
      </c>
      <c r="B11" s="102">
        <v>17150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55EB9-A96F-4454-95CC-2C0E7104C74B}">
  <dimension ref="A1:B9"/>
  <sheetViews>
    <sheetView workbookViewId="0"/>
  </sheetViews>
  <sheetFormatPr defaultRowHeight="14.4" x14ac:dyDescent="0.3"/>
  <cols>
    <col min="1" max="1" width="14.5546875" bestFit="1" customWidth="1"/>
    <col min="2" max="2" width="13.33203125" bestFit="1" customWidth="1"/>
  </cols>
  <sheetData>
    <row r="1" spans="1:2" x14ac:dyDescent="0.3">
      <c r="A1" s="100" t="s">
        <v>203</v>
      </c>
      <c r="B1" t="s">
        <v>220</v>
      </c>
    </row>
    <row r="3" spans="1:2" x14ac:dyDescent="0.3">
      <c r="A3" s="100" t="s">
        <v>198</v>
      </c>
      <c r="B3" t="s">
        <v>235</v>
      </c>
    </row>
    <row r="4" spans="1:2" x14ac:dyDescent="0.3">
      <c r="A4" s="101" t="s">
        <v>223</v>
      </c>
      <c r="B4" s="102">
        <v>1300</v>
      </c>
    </row>
    <row r="5" spans="1:2" x14ac:dyDescent="0.3">
      <c r="A5" s="101" t="s">
        <v>227</v>
      </c>
      <c r="B5" s="102">
        <v>1450</v>
      </c>
    </row>
    <row r="6" spans="1:2" x14ac:dyDescent="0.3">
      <c r="A6" s="101" t="s">
        <v>219</v>
      </c>
      <c r="B6" s="102">
        <v>1200</v>
      </c>
    </row>
    <row r="7" spans="1:2" x14ac:dyDescent="0.3">
      <c r="A7" s="101" t="s">
        <v>221</v>
      </c>
      <c r="B7" s="102">
        <v>1200</v>
      </c>
    </row>
    <row r="8" spans="1:2" x14ac:dyDescent="0.3">
      <c r="A8" s="101" t="s">
        <v>231</v>
      </c>
      <c r="B8" s="102">
        <v>1250</v>
      </c>
    </row>
    <row r="9" spans="1:2" x14ac:dyDescent="0.3">
      <c r="A9" s="101" t="s">
        <v>197</v>
      </c>
      <c r="B9" s="102">
        <v>6400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5BDF-DBBD-4016-A6F3-C8695D55CF68}">
  <dimension ref="A1:B15"/>
  <sheetViews>
    <sheetView workbookViewId="0"/>
  </sheetViews>
  <sheetFormatPr defaultRowHeight="14.4" x14ac:dyDescent="0.3"/>
  <cols>
    <col min="1" max="1" width="14.77734375" bestFit="1" customWidth="1"/>
    <col min="2" max="2" width="13.33203125" bestFit="1" customWidth="1"/>
  </cols>
  <sheetData>
    <row r="1" spans="1:2" x14ac:dyDescent="0.3">
      <c r="A1" s="100" t="s">
        <v>202</v>
      </c>
      <c r="B1" t="s">
        <v>212</v>
      </c>
    </row>
    <row r="3" spans="1:2" x14ac:dyDescent="0.3">
      <c r="A3" s="100" t="s">
        <v>198</v>
      </c>
      <c r="B3" t="s">
        <v>235</v>
      </c>
    </row>
    <row r="4" spans="1:2" x14ac:dyDescent="0.3">
      <c r="A4" s="101" t="s">
        <v>223</v>
      </c>
      <c r="B4" s="102">
        <v>1300</v>
      </c>
    </row>
    <row r="5" spans="1:2" x14ac:dyDescent="0.3">
      <c r="A5" s="101" t="s">
        <v>227</v>
      </c>
      <c r="B5" s="102">
        <v>1450</v>
      </c>
    </row>
    <row r="6" spans="1:2" x14ac:dyDescent="0.3">
      <c r="A6" s="101" t="s">
        <v>233</v>
      </c>
      <c r="B6" s="102">
        <v>2950</v>
      </c>
    </row>
    <row r="7" spans="1:2" x14ac:dyDescent="0.3">
      <c r="A7" s="101" t="s">
        <v>213</v>
      </c>
      <c r="B7" s="102">
        <v>2500</v>
      </c>
    </row>
    <row r="8" spans="1:2" x14ac:dyDescent="0.3">
      <c r="A8" s="101" t="s">
        <v>217</v>
      </c>
      <c r="B8" s="102">
        <v>2850</v>
      </c>
    </row>
    <row r="9" spans="1:2" x14ac:dyDescent="0.3">
      <c r="A9" s="101" t="s">
        <v>211</v>
      </c>
      <c r="B9" s="102">
        <v>2200</v>
      </c>
    </row>
    <row r="10" spans="1:2" x14ac:dyDescent="0.3">
      <c r="A10" s="101" t="s">
        <v>219</v>
      </c>
      <c r="B10" s="102">
        <v>1200</v>
      </c>
    </row>
    <row r="11" spans="1:2" x14ac:dyDescent="0.3">
      <c r="A11" s="101" t="s">
        <v>229</v>
      </c>
      <c r="B11" s="102">
        <v>3100</v>
      </c>
    </row>
    <row r="12" spans="1:2" x14ac:dyDescent="0.3">
      <c r="A12" s="101" t="s">
        <v>225</v>
      </c>
      <c r="B12" s="102">
        <v>2900</v>
      </c>
    </row>
    <row r="13" spans="1:2" x14ac:dyDescent="0.3">
      <c r="A13" s="101" t="s">
        <v>221</v>
      </c>
      <c r="B13" s="102">
        <v>1200</v>
      </c>
    </row>
    <row r="14" spans="1:2" x14ac:dyDescent="0.3">
      <c r="A14" s="101" t="s">
        <v>231</v>
      </c>
      <c r="B14" s="102">
        <v>1250</v>
      </c>
    </row>
    <row r="15" spans="1:2" x14ac:dyDescent="0.3">
      <c r="A15" s="101" t="s">
        <v>197</v>
      </c>
      <c r="B15" s="102">
        <v>22900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1DA1F-1B18-4336-B2F8-1A53211C66C7}">
  <dimension ref="A1:B17"/>
  <sheetViews>
    <sheetView workbookViewId="0"/>
  </sheetViews>
  <sheetFormatPr defaultRowHeight="14.4" x14ac:dyDescent="0.3"/>
  <cols>
    <col min="1" max="1" width="16" bestFit="1" customWidth="1"/>
    <col min="2" max="2" width="13.33203125" bestFit="1" customWidth="1"/>
  </cols>
  <sheetData>
    <row r="1" spans="1:2" x14ac:dyDescent="0.3">
      <c r="A1" s="100" t="s">
        <v>202</v>
      </c>
      <c r="B1" t="s">
        <v>206</v>
      </c>
    </row>
    <row r="3" spans="1:2" x14ac:dyDescent="0.3">
      <c r="A3" s="100" t="s">
        <v>198</v>
      </c>
      <c r="B3" t="s">
        <v>235</v>
      </c>
    </row>
    <row r="4" spans="1:2" x14ac:dyDescent="0.3">
      <c r="A4" s="101" t="s">
        <v>228</v>
      </c>
      <c r="B4" s="102">
        <v>3400</v>
      </c>
    </row>
    <row r="5" spans="1:2" x14ac:dyDescent="0.3">
      <c r="A5" s="101" t="s">
        <v>224</v>
      </c>
      <c r="B5" s="102">
        <v>2750</v>
      </c>
    </row>
    <row r="6" spans="1:2" x14ac:dyDescent="0.3">
      <c r="A6" s="101" t="s">
        <v>232</v>
      </c>
      <c r="B6" s="102">
        <v>3300</v>
      </c>
    </row>
    <row r="7" spans="1:2" x14ac:dyDescent="0.3">
      <c r="A7" s="101" t="s">
        <v>218</v>
      </c>
      <c r="B7" s="102">
        <v>1850</v>
      </c>
    </row>
    <row r="8" spans="1:2" x14ac:dyDescent="0.3">
      <c r="A8" s="101" t="s">
        <v>215</v>
      </c>
      <c r="B8" s="102">
        <v>1850</v>
      </c>
    </row>
    <row r="9" spans="1:2" x14ac:dyDescent="0.3">
      <c r="A9" s="101" t="s">
        <v>208</v>
      </c>
      <c r="B9" s="102">
        <v>1800</v>
      </c>
    </row>
    <row r="10" spans="1:2" x14ac:dyDescent="0.3">
      <c r="A10" s="101" t="s">
        <v>230</v>
      </c>
      <c r="B10" s="102">
        <v>2100</v>
      </c>
    </row>
    <row r="11" spans="1:2" x14ac:dyDescent="0.3">
      <c r="A11" s="101" t="s">
        <v>226</v>
      </c>
      <c r="B11" s="102">
        <v>2400</v>
      </c>
    </row>
    <row r="12" spans="1:2" x14ac:dyDescent="0.3">
      <c r="A12" s="101" t="s">
        <v>214</v>
      </c>
      <c r="B12" s="102">
        <v>3000</v>
      </c>
    </row>
    <row r="13" spans="1:2" x14ac:dyDescent="0.3">
      <c r="A13" s="101" t="s">
        <v>209</v>
      </c>
      <c r="B13" s="102">
        <v>2200</v>
      </c>
    </row>
    <row r="14" spans="1:2" x14ac:dyDescent="0.3">
      <c r="A14" s="101" t="s">
        <v>205</v>
      </c>
      <c r="B14" s="102">
        <v>3000</v>
      </c>
    </row>
    <row r="15" spans="1:2" x14ac:dyDescent="0.3">
      <c r="A15" s="101" t="s">
        <v>222</v>
      </c>
      <c r="B15" s="102">
        <v>2600</v>
      </c>
    </row>
    <row r="16" spans="1:2" x14ac:dyDescent="0.3">
      <c r="A16" s="101" t="s">
        <v>237</v>
      </c>
      <c r="B16" s="102">
        <v>2500</v>
      </c>
    </row>
    <row r="17" spans="1:2" x14ac:dyDescent="0.3">
      <c r="A17" s="101" t="s">
        <v>197</v>
      </c>
      <c r="B17" s="102">
        <v>32750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C97DA-5B59-4EF8-B2CD-9BCAFEBCB8FB}">
  <dimension ref="A2:B29"/>
  <sheetViews>
    <sheetView workbookViewId="0">
      <selection activeCell="B14" sqref="B13:B14"/>
    </sheetView>
  </sheetViews>
  <sheetFormatPr defaultRowHeight="14.4" x14ac:dyDescent="0.3"/>
  <cols>
    <col min="1" max="1" width="16" bestFit="1" customWidth="1"/>
    <col min="2" max="2" width="13.33203125" bestFit="1" customWidth="1"/>
  </cols>
  <sheetData>
    <row r="2" spans="1:2" x14ac:dyDescent="0.3">
      <c r="A2" s="100" t="s">
        <v>202</v>
      </c>
      <c r="B2" t="s">
        <v>236</v>
      </c>
    </row>
    <row r="4" spans="1:2" x14ac:dyDescent="0.3">
      <c r="A4" s="100" t="s">
        <v>198</v>
      </c>
      <c r="B4" t="s">
        <v>235</v>
      </c>
    </row>
    <row r="5" spans="1:2" x14ac:dyDescent="0.3">
      <c r="A5" s="101" t="s">
        <v>223</v>
      </c>
      <c r="B5" s="102">
        <v>1300</v>
      </c>
    </row>
    <row r="6" spans="1:2" x14ac:dyDescent="0.3">
      <c r="A6" s="101" t="s">
        <v>228</v>
      </c>
      <c r="B6" s="102">
        <v>3400</v>
      </c>
    </row>
    <row r="7" spans="1:2" x14ac:dyDescent="0.3">
      <c r="A7" s="101" t="s">
        <v>224</v>
      </c>
      <c r="B7" s="102">
        <v>2750</v>
      </c>
    </row>
    <row r="8" spans="1:2" x14ac:dyDescent="0.3">
      <c r="A8" s="101" t="s">
        <v>232</v>
      </c>
      <c r="B8" s="102">
        <v>3300</v>
      </c>
    </row>
    <row r="9" spans="1:2" x14ac:dyDescent="0.3">
      <c r="A9" s="101" t="s">
        <v>227</v>
      </c>
      <c r="B9" s="102">
        <v>1450</v>
      </c>
    </row>
    <row r="10" spans="1:2" x14ac:dyDescent="0.3">
      <c r="A10" s="101" t="s">
        <v>218</v>
      </c>
      <c r="B10" s="102">
        <v>1850</v>
      </c>
    </row>
    <row r="11" spans="1:2" x14ac:dyDescent="0.3">
      <c r="A11" s="101" t="s">
        <v>215</v>
      </c>
      <c r="B11" s="102">
        <v>1850</v>
      </c>
    </row>
    <row r="12" spans="1:2" x14ac:dyDescent="0.3">
      <c r="A12" s="101" t="s">
        <v>208</v>
      </c>
      <c r="B12" s="102">
        <v>1800</v>
      </c>
    </row>
    <row r="13" spans="1:2" x14ac:dyDescent="0.3">
      <c r="A13" s="101" t="s">
        <v>230</v>
      </c>
      <c r="B13" s="102">
        <v>2100</v>
      </c>
    </row>
    <row r="14" spans="1:2" x14ac:dyDescent="0.3">
      <c r="A14" s="101" t="s">
        <v>233</v>
      </c>
      <c r="B14" s="102">
        <v>2950</v>
      </c>
    </row>
    <row r="15" spans="1:2" x14ac:dyDescent="0.3">
      <c r="A15" s="101" t="s">
        <v>213</v>
      </c>
      <c r="B15" s="102">
        <v>2500</v>
      </c>
    </row>
    <row r="16" spans="1:2" x14ac:dyDescent="0.3">
      <c r="A16" s="101" t="s">
        <v>226</v>
      </c>
      <c r="B16" s="102">
        <v>2400</v>
      </c>
    </row>
    <row r="17" spans="1:2" x14ac:dyDescent="0.3">
      <c r="A17" s="101" t="s">
        <v>217</v>
      </c>
      <c r="B17" s="102">
        <v>2850</v>
      </c>
    </row>
    <row r="18" spans="1:2" x14ac:dyDescent="0.3">
      <c r="A18" s="101" t="s">
        <v>211</v>
      </c>
      <c r="B18" s="102">
        <v>2200</v>
      </c>
    </row>
    <row r="19" spans="1:2" x14ac:dyDescent="0.3">
      <c r="A19" s="101" t="s">
        <v>214</v>
      </c>
      <c r="B19" s="102">
        <v>3000</v>
      </c>
    </row>
    <row r="20" spans="1:2" x14ac:dyDescent="0.3">
      <c r="A20" s="101" t="s">
        <v>219</v>
      </c>
      <c r="B20" s="102">
        <v>1200</v>
      </c>
    </row>
    <row r="21" spans="1:2" x14ac:dyDescent="0.3">
      <c r="A21" s="101" t="s">
        <v>209</v>
      </c>
      <c r="B21" s="102">
        <v>2200</v>
      </c>
    </row>
    <row r="22" spans="1:2" x14ac:dyDescent="0.3">
      <c r="A22" s="101" t="s">
        <v>205</v>
      </c>
      <c r="B22" s="102">
        <v>3000</v>
      </c>
    </row>
    <row r="23" spans="1:2" x14ac:dyDescent="0.3">
      <c r="A23" s="101" t="s">
        <v>229</v>
      </c>
      <c r="B23" s="102">
        <v>3100</v>
      </c>
    </row>
    <row r="24" spans="1:2" x14ac:dyDescent="0.3">
      <c r="A24" s="101" t="s">
        <v>222</v>
      </c>
      <c r="B24" s="102">
        <v>2600</v>
      </c>
    </row>
    <row r="25" spans="1:2" x14ac:dyDescent="0.3">
      <c r="A25" s="101" t="s">
        <v>225</v>
      </c>
      <c r="B25" s="102">
        <v>2900</v>
      </c>
    </row>
    <row r="26" spans="1:2" x14ac:dyDescent="0.3">
      <c r="A26" s="101" t="s">
        <v>221</v>
      </c>
      <c r="B26" s="102">
        <v>1200</v>
      </c>
    </row>
    <row r="27" spans="1:2" x14ac:dyDescent="0.3">
      <c r="A27" s="101" t="s">
        <v>231</v>
      </c>
      <c r="B27" s="102">
        <v>1250</v>
      </c>
    </row>
    <row r="28" spans="1:2" x14ac:dyDescent="0.3">
      <c r="A28" s="101" t="s">
        <v>237</v>
      </c>
      <c r="B28" s="102">
        <v>2500</v>
      </c>
    </row>
    <row r="29" spans="1:2" x14ac:dyDescent="0.3">
      <c r="A29" s="101" t="s">
        <v>197</v>
      </c>
      <c r="B29" s="102">
        <v>55650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CA538-268F-4F51-BB9D-981C1ED66319}">
  <dimension ref="B3:N30"/>
  <sheetViews>
    <sheetView tabSelected="1" workbookViewId="0">
      <selection activeCell="F3" sqref="F3"/>
    </sheetView>
  </sheetViews>
  <sheetFormatPr defaultRowHeight="14.4" x14ac:dyDescent="0.3"/>
  <cols>
    <col min="2" max="2" width="9" style="1" bestFit="1" customWidth="1"/>
    <col min="3" max="3" width="19.88671875" style="1" bestFit="1" customWidth="1"/>
    <col min="4" max="4" width="9.21875" style="1" bestFit="1" customWidth="1"/>
    <col min="5" max="5" width="7.6640625" style="1" bestFit="1" customWidth="1"/>
    <col min="6" max="6" width="12.33203125" style="1" bestFit="1" customWidth="1"/>
    <col min="7" max="7" width="9.109375" style="1" bestFit="1" customWidth="1"/>
    <col min="10" max="10" width="17.6640625" bestFit="1" customWidth="1"/>
    <col min="13" max="13" width="12.44140625" bestFit="1" customWidth="1"/>
  </cols>
  <sheetData>
    <row r="3" spans="2:14" x14ac:dyDescent="0.3">
      <c r="B3" s="104" t="s">
        <v>200</v>
      </c>
      <c r="C3" s="104" t="s">
        <v>201</v>
      </c>
      <c r="D3" s="104" t="s">
        <v>202</v>
      </c>
      <c r="E3" s="104" t="s">
        <v>53</v>
      </c>
      <c r="F3" s="104" t="s">
        <v>203</v>
      </c>
      <c r="G3" s="104" t="s">
        <v>204</v>
      </c>
      <c r="I3" s="104" t="s">
        <v>200</v>
      </c>
      <c r="J3" s="104" t="s">
        <v>201</v>
      </c>
      <c r="K3" s="104" t="s">
        <v>202</v>
      </c>
      <c r="L3" s="104" t="s">
        <v>53</v>
      </c>
      <c r="M3" s="104" t="s">
        <v>203</v>
      </c>
      <c r="N3" s="104" t="s">
        <v>204</v>
      </c>
    </row>
    <row r="4" spans="2:14" x14ac:dyDescent="0.3">
      <c r="B4" s="16">
        <v>46250489</v>
      </c>
      <c r="C4" s="16" t="s">
        <v>205</v>
      </c>
      <c r="D4" s="16" t="s">
        <v>206</v>
      </c>
      <c r="E4" s="16">
        <v>32</v>
      </c>
      <c r="F4" s="16" t="s">
        <v>207</v>
      </c>
      <c r="G4" s="16">
        <v>3000</v>
      </c>
      <c r="K4" t="s">
        <v>206</v>
      </c>
      <c r="L4" t="s">
        <v>234</v>
      </c>
      <c r="M4" t="s">
        <v>207</v>
      </c>
    </row>
    <row r="5" spans="2:14" x14ac:dyDescent="0.3">
      <c r="B5" s="16">
        <v>25987456</v>
      </c>
      <c r="C5" s="16" t="s">
        <v>208</v>
      </c>
      <c r="D5" s="16" t="s">
        <v>206</v>
      </c>
      <c r="E5" s="16">
        <v>28</v>
      </c>
      <c r="F5" s="16" t="s">
        <v>207</v>
      </c>
      <c r="G5" s="16">
        <v>1800</v>
      </c>
    </row>
    <row r="6" spans="2:14" x14ac:dyDescent="0.3">
      <c r="B6" s="16">
        <v>15486325</v>
      </c>
      <c r="C6" s="16" t="s">
        <v>209</v>
      </c>
      <c r="D6" s="16" t="s">
        <v>206</v>
      </c>
      <c r="E6" s="16">
        <v>31</v>
      </c>
      <c r="F6" s="16" t="s">
        <v>210</v>
      </c>
      <c r="G6" s="16">
        <v>2200</v>
      </c>
    </row>
    <row r="7" spans="2:14" x14ac:dyDescent="0.3">
      <c r="B7" s="16">
        <v>12548984</v>
      </c>
      <c r="C7" s="16" t="s">
        <v>211</v>
      </c>
      <c r="D7" s="16" t="s">
        <v>212</v>
      </c>
      <c r="E7" s="16">
        <v>29</v>
      </c>
      <c r="F7" s="16" t="s">
        <v>210</v>
      </c>
      <c r="G7" s="16">
        <v>2200</v>
      </c>
    </row>
    <row r="8" spans="2:14" x14ac:dyDescent="0.3">
      <c r="B8" s="16">
        <v>56322588</v>
      </c>
      <c r="C8" s="16" t="s">
        <v>213</v>
      </c>
      <c r="D8" s="16" t="s">
        <v>212</v>
      </c>
      <c r="E8" s="16">
        <v>27</v>
      </c>
      <c r="F8" s="16" t="s">
        <v>210</v>
      </c>
      <c r="G8" s="16">
        <v>2500</v>
      </c>
      <c r="I8" s="104" t="s">
        <v>200</v>
      </c>
      <c r="J8" s="104" t="s">
        <v>201</v>
      </c>
      <c r="K8" s="104" t="s">
        <v>202</v>
      </c>
      <c r="L8" s="104" t="s">
        <v>53</v>
      </c>
      <c r="M8" s="104" t="s">
        <v>203</v>
      </c>
      <c r="N8" s="104" t="s">
        <v>204</v>
      </c>
    </row>
    <row r="9" spans="2:14" x14ac:dyDescent="0.3">
      <c r="B9" s="16">
        <v>44558874</v>
      </c>
      <c r="C9" s="16" t="s">
        <v>214</v>
      </c>
      <c r="D9" s="16" t="s">
        <v>206</v>
      </c>
      <c r="E9" s="16">
        <v>40</v>
      </c>
      <c r="F9" s="16" t="s">
        <v>210</v>
      </c>
      <c r="G9" s="16">
        <v>3000</v>
      </c>
      <c r="I9" s="16">
        <v>45465454</v>
      </c>
      <c r="J9" s="16" t="s">
        <v>219</v>
      </c>
      <c r="K9" s="16" t="s">
        <v>212</v>
      </c>
      <c r="L9" s="16">
        <v>28</v>
      </c>
      <c r="M9" s="16" t="s">
        <v>220</v>
      </c>
      <c r="N9" s="16">
        <v>1200</v>
      </c>
    </row>
    <row r="10" spans="2:14" x14ac:dyDescent="0.3">
      <c r="B10" s="16">
        <v>43654785</v>
      </c>
      <c r="C10" s="16" t="s">
        <v>215</v>
      </c>
      <c r="D10" s="16" t="s">
        <v>206</v>
      </c>
      <c r="E10" s="16">
        <v>45</v>
      </c>
      <c r="F10" s="16" t="s">
        <v>216</v>
      </c>
      <c r="G10" s="16">
        <v>1850</v>
      </c>
      <c r="I10" s="16">
        <v>40125698</v>
      </c>
      <c r="J10" s="16" t="s">
        <v>227</v>
      </c>
      <c r="K10" s="16" t="s">
        <v>212</v>
      </c>
      <c r="L10" s="16">
        <v>31</v>
      </c>
      <c r="M10" s="16" t="s">
        <v>220</v>
      </c>
      <c r="N10" s="16">
        <v>1450</v>
      </c>
    </row>
    <row r="11" spans="2:14" x14ac:dyDescent="0.3">
      <c r="B11" s="16">
        <v>56456564</v>
      </c>
      <c r="C11" s="16" t="s">
        <v>217</v>
      </c>
      <c r="D11" s="16" t="s">
        <v>212</v>
      </c>
      <c r="E11" s="16">
        <v>30</v>
      </c>
      <c r="F11" s="16" t="s">
        <v>216</v>
      </c>
      <c r="G11" s="16">
        <v>2850</v>
      </c>
    </row>
    <row r="12" spans="2:14" x14ac:dyDescent="0.3">
      <c r="B12" s="16">
        <v>46548787</v>
      </c>
      <c r="C12" s="16" t="s">
        <v>218</v>
      </c>
      <c r="D12" s="16" t="s">
        <v>206</v>
      </c>
      <c r="E12" s="16">
        <v>27</v>
      </c>
      <c r="F12" s="16" t="s">
        <v>216</v>
      </c>
      <c r="G12" s="16">
        <v>1850</v>
      </c>
    </row>
    <row r="13" spans="2:14" x14ac:dyDescent="0.3">
      <c r="B13" s="16">
        <v>45465454</v>
      </c>
      <c r="C13" s="16" t="s">
        <v>219</v>
      </c>
      <c r="D13" s="16" t="s">
        <v>212</v>
      </c>
      <c r="E13" s="16">
        <v>28</v>
      </c>
      <c r="F13" s="16" t="s">
        <v>220</v>
      </c>
      <c r="G13" s="16">
        <v>1200</v>
      </c>
    </row>
    <row r="14" spans="2:14" x14ac:dyDescent="0.3">
      <c r="B14" s="16">
        <v>56564654</v>
      </c>
      <c r="C14" s="16" t="s">
        <v>221</v>
      </c>
      <c r="D14" s="16" t="s">
        <v>212</v>
      </c>
      <c r="E14" s="16">
        <v>27</v>
      </c>
      <c r="F14" s="16" t="s">
        <v>220</v>
      </c>
      <c r="G14" s="16">
        <v>1200</v>
      </c>
    </row>
    <row r="15" spans="2:14" x14ac:dyDescent="0.3">
      <c r="B15" s="16">
        <v>48974562</v>
      </c>
      <c r="C15" s="16" t="s">
        <v>222</v>
      </c>
      <c r="D15" s="16" t="s">
        <v>206</v>
      </c>
      <c r="E15" s="16">
        <v>35</v>
      </c>
      <c r="F15" s="16" t="s">
        <v>207</v>
      </c>
      <c r="G15" s="16">
        <v>2600</v>
      </c>
      <c r="I15" s="104" t="s">
        <v>200</v>
      </c>
      <c r="J15" s="104" t="s">
        <v>201</v>
      </c>
      <c r="K15" s="104" t="s">
        <v>202</v>
      </c>
      <c r="L15" s="104" t="s">
        <v>53</v>
      </c>
      <c r="M15" s="104" t="s">
        <v>203</v>
      </c>
      <c r="N15" s="104" t="s">
        <v>204</v>
      </c>
    </row>
    <row r="16" spans="2:14" x14ac:dyDescent="0.3">
      <c r="B16" s="16">
        <v>45879632</v>
      </c>
      <c r="C16" s="16" t="s">
        <v>223</v>
      </c>
      <c r="D16" s="16" t="s">
        <v>212</v>
      </c>
      <c r="E16" s="16">
        <v>24</v>
      </c>
      <c r="F16" s="16" t="s">
        <v>220</v>
      </c>
      <c r="G16" s="16">
        <v>1300</v>
      </c>
      <c r="I16" s="16">
        <v>45465454</v>
      </c>
      <c r="J16" s="16" t="s">
        <v>219</v>
      </c>
      <c r="K16" s="16" t="s">
        <v>212</v>
      </c>
      <c r="L16" s="16">
        <v>28</v>
      </c>
      <c r="M16" s="16" t="s">
        <v>220</v>
      </c>
      <c r="N16" s="16">
        <v>1200</v>
      </c>
    </row>
    <row r="17" spans="2:14" x14ac:dyDescent="0.3">
      <c r="B17" s="16">
        <v>41236547</v>
      </c>
      <c r="C17" s="16" t="s">
        <v>224</v>
      </c>
      <c r="D17" s="16" t="s">
        <v>206</v>
      </c>
      <c r="E17" s="16">
        <v>38</v>
      </c>
      <c r="F17" s="16" t="s">
        <v>210</v>
      </c>
      <c r="G17" s="16">
        <v>2750</v>
      </c>
      <c r="I17" s="16">
        <v>56564654</v>
      </c>
      <c r="J17" s="16" t="s">
        <v>221</v>
      </c>
      <c r="K17" s="16" t="s">
        <v>212</v>
      </c>
      <c r="L17" s="16">
        <v>27</v>
      </c>
      <c r="M17" s="16" t="s">
        <v>220</v>
      </c>
      <c r="N17" s="16">
        <v>1200</v>
      </c>
    </row>
    <row r="18" spans="2:14" x14ac:dyDescent="0.3">
      <c r="B18" s="16">
        <v>42365478</v>
      </c>
      <c r="C18" s="16" t="s">
        <v>225</v>
      </c>
      <c r="D18" s="16" t="s">
        <v>212</v>
      </c>
      <c r="E18" s="16">
        <v>33</v>
      </c>
      <c r="F18" s="16" t="s">
        <v>216</v>
      </c>
      <c r="G18" s="16">
        <v>2900</v>
      </c>
      <c r="I18" s="16">
        <v>45879632</v>
      </c>
      <c r="J18" s="16" t="s">
        <v>223</v>
      </c>
      <c r="K18" s="16" t="s">
        <v>212</v>
      </c>
      <c r="L18" s="16">
        <v>24</v>
      </c>
      <c r="M18" s="16" t="s">
        <v>220</v>
      </c>
      <c r="N18" s="16">
        <v>1300</v>
      </c>
    </row>
    <row r="19" spans="2:14" x14ac:dyDescent="0.3">
      <c r="B19" s="16">
        <v>49874563</v>
      </c>
      <c r="C19" s="16" t="s">
        <v>226</v>
      </c>
      <c r="D19" s="16" t="s">
        <v>206</v>
      </c>
      <c r="E19" s="16">
        <v>29</v>
      </c>
      <c r="F19" s="16" t="s">
        <v>210</v>
      </c>
      <c r="G19" s="16">
        <v>2400</v>
      </c>
      <c r="I19" s="16">
        <v>40125698</v>
      </c>
      <c r="J19" s="16" t="s">
        <v>227</v>
      </c>
      <c r="K19" s="16" t="s">
        <v>212</v>
      </c>
      <c r="L19" s="16">
        <v>31</v>
      </c>
      <c r="M19" s="16" t="s">
        <v>220</v>
      </c>
      <c r="N19" s="16">
        <v>1450</v>
      </c>
    </row>
    <row r="20" spans="2:14" x14ac:dyDescent="0.3">
      <c r="B20" s="16">
        <v>40125698</v>
      </c>
      <c r="C20" s="16" t="s">
        <v>227</v>
      </c>
      <c r="D20" s="16" t="s">
        <v>212</v>
      </c>
      <c r="E20" s="16">
        <v>31</v>
      </c>
      <c r="F20" s="16" t="s">
        <v>220</v>
      </c>
      <c r="G20" s="16">
        <v>1450</v>
      </c>
      <c r="I20" s="16">
        <v>42147896</v>
      </c>
      <c r="J20" s="16" t="s">
        <v>231</v>
      </c>
      <c r="K20" s="16" t="s">
        <v>212</v>
      </c>
      <c r="L20" s="16">
        <v>25</v>
      </c>
      <c r="M20" s="16" t="s">
        <v>220</v>
      </c>
      <c r="N20" s="16">
        <v>1250</v>
      </c>
    </row>
    <row r="21" spans="2:14" x14ac:dyDescent="0.3">
      <c r="B21" s="16">
        <v>47896541</v>
      </c>
      <c r="C21" s="16" t="s">
        <v>228</v>
      </c>
      <c r="D21" s="16" t="s">
        <v>206</v>
      </c>
      <c r="E21" s="16">
        <v>42</v>
      </c>
      <c r="F21" s="16" t="s">
        <v>207</v>
      </c>
      <c r="G21" s="16">
        <v>3400</v>
      </c>
    </row>
    <row r="22" spans="2:14" x14ac:dyDescent="0.3">
      <c r="B22" s="16">
        <v>43215478</v>
      </c>
      <c r="C22" s="16" t="s">
        <v>229</v>
      </c>
      <c r="D22" s="16" t="s">
        <v>212</v>
      </c>
      <c r="E22" s="16">
        <v>36</v>
      </c>
      <c r="F22" s="16" t="s">
        <v>216</v>
      </c>
      <c r="G22" s="16">
        <v>3100</v>
      </c>
    </row>
    <row r="23" spans="2:14" x14ac:dyDescent="0.3">
      <c r="B23" s="16">
        <v>45698741</v>
      </c>
      <c r="C23" s="16" t="s">
        <v>230</v>
      </c>
      <c r="D23" s="16" t="s">
        <v>206</v>
      </c>
      <c r="E23" s="16">
        <v>26</v>
      </c>
      <c r="F23" s="16" t="s">
        <v>210</v>
      </c>
      <c r="G23" s="16">
        <v>2100</v>
      </c>
    </row>
    <row r="24" spans="2:14" x14ac:dyDescent="0.3">
      <c r="B24" s="16">
        <v>42147896</v>
      </c>
      <c r="C24" s="16" t="s">
        <v>231</v>
      </c>
      <c r="D24" s="16" t="s">
        <v>212</v>
      </c>
      <c r="E24" s="16">
        <v>25</v>
      </c>
      <c r="F24" s="16" t="s">
        <v>220</v>
      </c>
      <c r="G24" s="16">
        <v>1250</v>
      </c>
    </row>
    <row r="25" spans="2:14" x14ac:dyDescent="0.3">
      <c r="B25" s="16">
        <v>48796532</v>
      </c>
      <c r="C25" s="16" t="s">
        <v>232</v>
      </c>
      <c r="D25" s="16" t="s">
        <v>206</v>
      </c>
      <c r="E25" s="16">
        <v>39</v>
      </c>
      <c r="F25" s="16" t="s">
        <v>207</v>
      </c>
      <c r="G25" s="16">
        <v>3300</v>
      </c>
      <c r="I25" s="104" t="s">
        <v>200</v>
      </c>
      <c r="J25" s="104" t="s">
        <v>201</v>
      </c>
      <c r="K25" s="104" t="s">
        <v>202</v>
      </c>
      <c r="L25" s="104" t="s">
        <v>53</v>
      </c>
      <c r="M25" s="104" t="s">
        <v>203</v>
      </c>
      <c r="N25" s="104" t="s">
        <v>204</v>
      </c>
    </row>
    <row r="26" spans="2:14" x14ac:dyDescent="0.3">
      <c r="B26" s="16">
        <v>46987412</v>
      </c>
      <c r="C26" s="16" t="s">
        <v>233</v>
      </c>
      <c r="D26" s="16" t="s">
        <v>212</v>
      </c>
      <c r="E26" s="16">
        <v>34</v>
      </c>
      <c r="F26" s="16" t="s">
        <v>216</v>
      </c>
      <c r="G26" s="16">
        <v>2950</v>
      </c>
      <c r="I26" s="16">
        <v>46250489</v>
      </c>
      <c r="J26" s="16" t="s">
        <v>205</v>
      </c>
      <c r="K26" s="16" t="s">
        <v>206</v>
      </c>
      <c r="L26" s="16">
        <v>32</v>
      </c>
      <c r="M26" s="16" t="s">
        <v>207</v>
      </c>
      <c r="N26" s="16">
        <v>1800</v>
      </c>
    </row>
    <row r="27" spans="2:14" x14ac:dyDescent="0.3">
      <c r="B27" s="16">
        <v>56985968</v>
      </c>
      <c r="C27" s="16" t="s">
        <v>237</v>
      </c>
      <c r="D27" s="16" t="s">
        <v>206</v>
      </c>
      <c r="E27" s="16">
        <v>30</v>
      </c>
      <c r="F27" s="16" t="s">
        <v>207</v>
      </c>
      <c r="G27" s="16">
        <v>2500</v>
      </c>
      <c r="I27" s="16">
        <v>25987456</v>
      </c>
      <c r="J27" s="16" t="s">
        <v>208</v>
      </c>
      <c r="K27" s="16" t="s">
        <v>206</v>
      </c>
      <c r="L27" s="16">
        <v>28</v>
      </c>
      <c r="M27" s="16" t="s">
        <v>207</v>
      </c>
      <c r="N27" s="16">
        <v>1800</v>
      </c>
    </row>
    <row r="28" spans="2:14" x14ac:dyDescent="0.3">
      <c r="I28" s="16">
        <v>48974562</v>
      </c>
      <c r="J28" s="16" t="s">
        <v>222</v>
      </c>
      <c r="K28" s="16" t="s">
        <v>206</v>
      </c>
      <c r="L28" s="16">
        <v>35</v>
      </c>
      <c r="M28" s="16" t="s">
        <v>207</v>
      </c>
      <c r="N28" s="16">
        <v>2600</v>
      </c>
    </row>
    <row r="29" spans="2:14" x14ac:dyDescent="0.3">
      <c r="I29" s="16">
        <v>47896541</v>
      </c>
      <c r="J29" s="16" t="s">
        <v>228</v>
      </c>
      <c r="K29" s="16" t="s">
        <v>206</v>
      </c>
      <c r="L29" s="16">
        <v>42</v>
      </c>
      <c r="M29" s="16" t="s">
        <v>207</v>
      </c>
      <c r="N29" s="16">
        <v>3400</v>
      </c>
    </row>
    <row r="30" spans="2:14" x14ac:dyDescent="0.3">
      <c r="I30" s="16">
        <v>48796532</v>
      </c>
      <c r="J30" s="16" t="s">
        <v>232</v>
      </c>
      <c r="K30" s="16" t="s">
        <v>206</v>
      </c>
      <c r="L30" s="16">
        <v>39</v>
      </c>
      <c r="M30" s="16" t="s">
        <v>207</v>
      </c>
      <c r="N30" s="16">
        <v>3300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vt:i4>
      </vt:variant>
    </vt:vector>
  </HeadingPairs>
  <TitlesOfParts>
    <vt:vector size="27" baseType="lpstr">
      <vt:lpstr>Presupuesto</vt:lpstr>
      <vt:lpstr>Clientes</vt:lpstr>
      <vt:lpstr>Comparar Valores</vt:lpstr>
      <vt:lpstr>Buscar-lOOKUP</vt:lpstr>
      <vt:lpstr>BuscaRV-VLOOKUP</vt:lpstr>
      <vt:lpstr>BuscarH-Hlookup</vt:lpstr>
      <vt:lpstr>BuscarX-Xlookup</vt:lpstr>
      <vt:lpstr>INTERMEDIO</vt:lpstr>
      <vt:lpstr>Datos</vt:lpstr>
      <vt:lpstr>Referencia a otras hojas</vt:lpstr>
      <vt:lpstr>Formatos y Estilos  de celdas</vt:lpstr>
      <vt:lpstr>Formato Condicional</vt:lpstr>
      <vt:lpstr>Insertar y eliminar</vt:lpstr>
      <vt:lpstr>Ordenanr y Filtrar</vt:lpstr>
      <vt:lpstr>Tablas Dinamica y Subtotales</vt:lpstr>
      <vt:lpstr>Privot</vt:lpstr>
      <vt:lpstr>Tablas Dinamica </vt:lpstr>
      <vt:lpstr>Administrador</vt:lpstr>
      <vt:lpstr>Contador</vt:lpstr>
      <vt:lpstr>Logística</vt:lpstr>
      <vt:lpstr>Secretaria</vt:lpstr>
      <vt:lpstr>Femenino</vt:lpstr>
      <vt:lpstr>Masculino</vt:lpstr>
      <vt:lpstr>Filtro</vt:lpstr>
      <vt:lpstr>Filtros Avanzado</vt:lpstr>
      <vt:lpstr>'Filtros Avanzado'!Criteria</vt:lpstr>
      <vt:lpstr>'Filtros Avanzado'!Extract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Edwin Villar</dc:creator>
  <cp:lastModifiedBy>Edwin Villar</cp:lastModifiedBy>
  <dcterms:created xsi:type="dcterms:W3CDTF">2026-06-30T15:01:51Z</dcterms:created>
  <dcterms:modified xsi:type="dcterms:W3CDTF">2026-07-02T21:23:37Z</dcterms:modified>
</cp:coreProperties>
</file>