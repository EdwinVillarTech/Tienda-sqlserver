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86eecf8daf4f0d/Documents/SQL Server Management Studio 22/Tienda-sqlserver/"/>
    </mc:Choice>
  </mc:AlternateContent>
  <xr:revisionPtr revIDLastSave="8" documentId="8_{8E962E59-1E3C-47E7-B657-D33E446696A7}" xr6:coauthVersionLast="47" xr6:coauthVersionMax="47" xr10:uidLastSave="{81282DB0-604C-43FC-9B04-3AC0E37A8FB8}"/>
  <bookViews>
    <workbookView xWindow="-108" yWindow="-108" windowWidth="23256" windowHeight="12456" firstSheet="11" activeTab="11" xr2:uid="{B4E95347-2E7C-4825-AC90-B7E638AE40C2}"/>
  </bookViews>
  <sheets>
    <sheet name="Presupuesto" sheetId="1" r:id="rId1"/>
    <sheet name="Clientes" sheetId="2" r:id="rId2"/>
    <sheet name="Comparar Valores" sheetId="3" r:id="rId3"/>
    <sheet name="Buscar-lOOKUP" sheetId="4" r:id="rId4"/>
    <sheet name="BuscaRV-VLOOKUP" sheetId="5" r:id="rId5"/>
    <sheet name="BuscarH-Hlookup" sheetId="6" r:id="rId6"/>
    <sheet name="BuscarX-Xlookup" sheetId="7" r:id="rId7"/>
    <sheet name="INTERMEDIO" sheetId="8" r:id="rId8"/>
    <sheet name="Datos" sheetId="10" r:id="rId9"/>
    <sheet name="Referencia a otras hojas" sheetId="9" r:id="rId10"/>
    <sheet name="Formatos y Estilos  de celdas" sheetId="12" r:id="rId11"/>
    <sheet name="Formato Condicional" sheetId="13" r:id="rId12"/>
  </sheets>
  <definedNames>
    <definedName name="_xlchart.v5.0" hidden="1">'Formato Condicional'!$H$5</definedName>
    <definedName name="_xlchart.v5.1" hidden="1">'Formato Condicional'!$H$6:$H$14</definedName>
    <definedName name="_xlchart.v5.2" hidden="1">'Formato Condicional'!$H$5</definedName>
    <definedName name="_xlchart.v5.3" hidden="1">'Formato Condicional'!$H$6:$H$14</definedName>
    <definedName name="_xlchart.v5.4" hidden="1">'Formato Condicional'!$H$5</definedName>
    <definedName name="_xlchart.v5.5" hidden="1">'Formato Condicional'!$H$6:$H$14</definedName>
    <definedName name="_xlchart.v5.6" hidden="1">'Formato Condicional'!$H$5</definedName>
    <definedName name="_xlchart.v5.7" hidden="1">'Formato Condicional'!$H$6:$H$14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0" l="1"/>
  <c r="D12" i="10"/>
  <c r="E12" i="10"/>
  <c r="F12" i="10"/>
  <c r="G12" i="10"/>
  <c r="B12" i="10"/>
  <c r="E9" i="10"/>
  <c r="E5" i="10"/>
  <c r="E6" i="10"/>
  <c r="E7" i="10"/>
  <c r="E8" i="10"/>
  <c r="E4" i="10"/>
  <c r="H7" i="7"/>
  <c r="H8" i="7"/>
  <c r="H9" i="7"/>
  <c r="H10" i="7"/>
  <c r="H11" i="7"/>
  <c r="H12" i="7"/>
  <c r="H13" i="7"/>
  <c r="H14" i="7"/>
  <c r="H6" i="7"/>
  <c r="H5" i="7"/>
  <c r="D10" i="6"/>
  <c r="C10" i="6"/>
  <c r="H6" i="5"/>
  <c r="H7" i="5"/>
  <c r="H8" i="5"/>
  <c r="H9" i="5"/>
  <c r="H10" i="5"/>
  <c r="H11" i="5"/>
  <c r="H12" i="5"/>
  <c r="H13" i="5"/>
  <c r="H14" i="5"/>
  <c r="H15" i="5"/>
  <c r="H5" i="5"/>
  <c r="H14" i="4"/>
  <c r="H6" i="4"/>
  <c r="H7" i="4"/>
  <c r="H8" i="4"/>
  <c r="H9" i="4"/>
  <c r="H10" i="4"/>
  <c r="H11" i="4"/>
  <c r="H12" i="4"/>
  <c r="H13" i="4"/>
  <c r="H5" i="4"/>
  <c r="H4" i="4"/>
  <c r="D6" i="3"/>
  <c r="D7" i="3"/>
  <c r="D4" i="3"/>
  <c r="D5" i="3"/>
  <c r="C7" i="3"/>
  <c r="C6" i="3"/>
  <c r="C5" i="3"/>
  <c r="C4" i="3"/>
  <c r="C15" i="2"/>
  <c r="C12" i="2"/>
  <c r="C21" i="1"/>
  <c r="C19" i="1"/>
  <c r="C18" i="1"/>
  <c r="B18" i="1"/>
</calcChain>
</file>

<file path=xl/sharedStrings.xml><?xml version="1.0" encoding="utf-8"?>
<sst xmlns="http://schemas.openxmlformats.org/spreadsheetml/2006/main" count="304" uniqueCount="113">
  <si>
    <t xml:space="preserve"> Presupuesto Mensual</t>
  </si>
  <si>
    <t>Rubros</t>
  </si>
  <si>
    <t>Ingresos</t>
  </si>
  <si>
    <t>Gastos</t>
  </si>
  <si>
    <t>Salario</t>
  </si>
  <si>
    <t>Variables</t>
  </si>
  <si>
    <t>Eventuales</t>
  </si>
  <si>
    <t>Servicio público agua</t>
  </si>
  <si>
    <t>Servicio público luz</t>
  </si>
  <si>
    <t>Servicio público gas</t>
  </si>
  <si>
    <t>Mantenimiento casa</t>
  </si>
  <si>
    <t>Diversión</t>
  </si>
  <si>
    <t>Educación</t>
  </si>
  <si>
    <t>Combustible</t>
  </si>
  <si>
    <t>Créditos</t>
  </si>
  <si>
    <t>Ropa y accesorios</t>
  </si>
  <si>
    <t>Mascota</t>
  </si>
  <si>
    <t>Varios</t>
  </si>
  <si>
    <t>Total</t>
  </si>
  <si>
    <t xml:space="preserve">Margen </t>
  </si>
  <si>
    <t>% de holgura</t>
  </si>
  <si>
    <t>Margen Neto</t>
  </si>
  <si>
    <t xml:space="preserve">Funciones Condicionales  </t>
  </si>
  <si>
    <t>Cliente</t>
  </si>
  <si>
    <t>Tipo Clte</t>
  </si>
  <si>
    <t>Antigüedad (años)</t>
  </si>
  <si>
    <t>Horas trabajadas</t>
  </si>
  <si>
    <t>Valor Hora</t>
  </si>
  <si>
    <t>Descuento</t>
  </si>
  <si>
    <t>Honor Totales</t>
  </si>
  <si>
    <t>Coca Cola</t>
  </si>
  <si>
    <t>$1,500</t>
  </si>
  <si>
    <t>$0</t>
  </si>
  <si>
    <t>Mc Donald's</t>
  </si>
  <si>
    <t>Pritty</t>
  </si>
  <si>
    <t>$9,750</t>
  </si>
  <si>
    <t>Volkswagen</t>
  </si>
  <si>
    <t>Autos</t>
  </si>
  <si>
    <t>$3,450</t>
  </si>
  <si>
    <t>Mostaza</t>
  </si>
  <si>
    <t>$1,800</t>
  </si>
  <si>
    <t>Grido</t>
  </si>
  <si>
    <t>$2,000</t>
  </si>
  <si>
    <t xml:space="preserve">Count if </t>
  </si>
  <si>
    <t xml:space="preserve">SUMIF </t>
  </si>
  <si>
    <t>Gastronomia</t>
  </si>
  <si>
    <t xml:space="preserve">Alimentos </t>
  </si>
  <si>
    <t xml:space="preserve">Lista A </t>
  </si>
  <si>
    <t xml:space="preserve">Lista B </t>
  </si>
  <si>
    <t>Operadores</t>
  </si>
  <si>
    <t xml:space="preserve">Funcion SI </t>
  </si>
  <si>
    <t>Código</t>
  </si>
  <si>
    <t>Nombre</t>
  </si>
  <si>
    <t>Edad</t>
  </si>
  <si>
    <t>Cod001</t>
  </si>
  <si>
    <t>Juan Perez</t>
  </si>
  <si>
    <t>$800.00</t>
  </si>
  <si>
    <t>Cod002</t>
  </si>
  <si>
    <t>Andres Sanchez</t>
  </si>
  <si>
    <t>$1,500.00</t>
  </si>
  <si>
    <t>Cod003</t>
  </si>
  <si>
    <t>Mario Gonzalez</t>
  </si>
  <si>
    <t>$1,200.00</t>
  </si>
  <si>
    <t>Cod004</t>
  </si>
  <si>
    <t>María Dominguez</t>
  </si>
  <si>
    <t>Cod005</t>
  </si>
  <si>
    <t>Juana Velez</t>
  </si>
  <si>
    <t>$760.00</t>
  </si>
  <si>
    <t>Cod006</t>
  </si>
  <si>
    <t>Pedro Urdiales</t>
  </si>
  <si>
    <t>$1,650.00</t>
  </si>
  <si>
    <t>Cod007</t>
  </si>
  <si>
    <t>Samanta Loja</t>
  </si>
  <si>
    <t>$1,400.00</t>
  </si>
  <si>
    <t>Cod008</t>
  </si>
  <si>
    <t>Melina Lima</t>
  </si>
  <si>
    <t>$1,350.00</t>
  </si>
  <si>
    <t>Cod009</t>
  </si>
  <si>
    <t>Melisa Ruales</t>
  </si>
  <si>
    <t>$1,150.00</t>
  </si>
  <si>
    <t>Cod010</t>
  </si>
  <si>
    <t>Esteban Arredondo</t>
  </si>
  <si>
    <t>$1,100.00</t>
  </si>
  <si>
    <t>Buscar</t>
  </si>
  <si>
    <t>Resultado</t>
  </si>
  <si>
    <t>Cod011</t>
  </si>
  <si>
    <t xml:space="preserve"> </t>
  </si>
  <si>
    <t>Planilla mes de eptiembre de 2021</t>
  </si>
  <si>
    <t>Producto</t>
  </si>
  <si>
    <t>Cantidad</t>
  </si>
  <si>
    <t>Valor Uni.</t>
  </si>
  <si>
    <t>Subtotal</t>
  </si>
  <si>
    <t>Valor del Descto.</t>
  </si>
  <si>
    <t>Producto A</t>
  </si>
  <si>
    <t>Producto B</t>
  </si>
  <si>
    <t>Producto C</t>
  </si>
  <si>
    <t>Producto D</t>
  </si>
  <si>
    <t>Producto E</t>
  </si>
  <si>
    <t>Producto F</t>
  </si>
  <si>
    <t>Valor</t>
  </si>
  <si>
    <t>Valor IVA:</t>
  </si>
  <si>
    <t xml:space="preserve">Descuentos autorizados por mes </t>
  </si>
  <si>
    <t>Mes</t>
  </si>
  <si>
    <t>Agosto</t>
  </si>
  <si>
    <t>Septiembre</t>
  </si>
  <si>
    <t>Octubre</t>
  </si>
  <si>
    <t>Noviembre</t>
  </si>
  <si>
    <t>Diciembre</t>
  </si>
  <si>
    <t>% Descuento</t>
  </si>
  <si>
    <t>Tabla de IVA</t>
  </si>
  <si>
    <t>Otros Productos</t>
  </si>
  <si>
    <t>Importado Especiales</t>
  </si>
  <si>
    <t xml:space="preserve">Productos tipo A hasta tipo 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</si>
</sst>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[$$-2C0A]\ * #,##0.00_-;\-[$$-2C0A]\ * #,##0.00_-;_-[$$-2C0A]\ * &quot;-&quot;??_-;_-@_-"/>
    <numFmt numFmtId="165" formatCode="_-[$$-2C0A]\ * #,##0.0_-;\-[$$-2C0A]\ * #,##0.0_-;_-[$$-2C0A]\ * &quot;-&quot;??_-;_-@_-"/>
    <numFmt numFmtId="171" formatCode="0.000"/>
    <numFmt numFmtId="172" formatCode="0.0%"/>
    <numFmt numFmtId="174" formatCode="0.0000"/>
    <numFmt numFmtId="176" formatCode="[$$-2C0A]\ #,##0.00;\-[$$-2C0A]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Times New Roman"/>
      <family val="1"/>
    </font>
    <font>
      <sz val="14"/>
      <color theme="0"/>
      <name val="Times New Roman"/>
      <family val="1"/>
    </font>
    <font>
      <b/>
      <sz val="11"/>
      <color rgb="FF00206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DashDot">
        <color indexed="64"/>
      </left>
      <right style="mediumDashDot">
        <color indexed="64"/>
      </right>
      <top style="mediumDashDot">
        <color indexed="64"/>
      </top>
      <bottom style="thin">
        <color indexed="64"/>
      </bottom>
      <diagonal/>
    </border>
    <border>
      <left style="mediumDashDot">
        <color indexed="64"/>
      </left>
      <right style="mediumDashDot">
        <color indexed="64"/>
      </right>
      <top style="thin">
        <color indexed="64"/>
      </top>
      <bottom style="thin">
        <color indexed="64"/>
      </bottom>
      <diagonal/>
    </border>
    <border>
      <left style="mediumDashDot">
        <color indexed="64"/>
      </left>
      <right style="mediumDashDot">
        <color indexed="64"/>
      </right>
      <top style="thin">
        <color indexed="64"/>
      </top>
      <bottom style="mediumDashDot">
        <color indexed="64"/>
      </bottom>
      <diagonal/>
    </border>
    <border>
      <left style="mediumDashDot">
        <color indexed="64"/>
      </left>
      <right style="mediumDashDot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7" fillId="0" borderId="2" applyNumberFormat="0" applyFill="0" applyAlignment="0" applyProtection="0"/>
    <xf numFmtId="0" fontId="8" fillId="13" borderId="0" applyNumberFormat="0" applyBorder="0" applyAlignment="0" applyProtection="0"/>
  </cellStyleXfs>
  <cellXfs count="85">
    <xf numFmtId="0" fontId="0" fillId="0" borderId="0" xfId="0"/>
    <xf numFmtId="0" fontId="3" fillId="0" borderId="0" xfId="0" applyFont="1"/>
    <xf numFmtId="0" fontId="4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6" borderId="0" xfId="0" applyFont="1" applyFill="1"/>
    <xf numFmtId="0" fontId="4" fillId="6" borderId="0" xfId="0" applyFont="1" applyFill="1" applyAlignment="1">
      <alignment vertical="center" wrapText="1"/>
    </xf>
    <xf numFmtId="164" fontId="3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164" fontId="3" fillId="0" borderId="0" xfId="0" applyNumberFormat="1" applyFont="1"/>
    <xf numFmtId="0" fontId="4" fillId="7" borderId="0" xfId="0" applyFont="1" applyFill="1" applyAlignment="1">
      <alignment horizontal="center" vertical="center" wrapText="1"/>
    </xf>
    <xf numFmtId="3" fontId="3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3" fontId="3" fillId="0" borderId="0" xfId="0" applyNumberFormat="1" applyFont="1"/>
    <xf numFmtId="9" fontId="3" fillId="0" borderId="0" xfId="0" applyNumberFormat="1" applyFont="1"/>
    <xf numFmtId="0" fontId="4" fillId="8" borderId="1" xfId="0" applyFont="1" applyFill="1" applyBorder="1"/>
    <xf numFmtId="0" fontId="3" fillId="0" borderId="1" xfId="0" applyFont="1" applyBorder="1"/>
    <xf numFmtId="0" fontId="3" fillId="2" borderId="1" xfId="1" applyFont="1" applyBorder="1"/>
    <xf numFmtId="0" fontId="3" fillId="4" borderId="1" xfId="3" applyFont="1" applyBorder="1"/>
    <xf numFmtId="0" fontId="3" fillId="3" borderId="1" xfId="2" applyFont="1" applyBorder="1"/>
    <xf numFmtId="0" fontId="3" fillId="5" borderId="1" xfId="4" applyFont="1" applyBorder="1"/>
    <xf numFmtId="0" fontId="2" fillId="0" borderId="0" xfId="0" applyFont="1"/>
    <xf numFmtId="0" fontId="4" fillId="11" borderId="0" xfId="0" applyFont="1" applyFill="1"/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right" vertical="center"/>
    </xf>
    <xf numFmtId="0" fontId="4" fillId="7" borderId="0" xfId="0" applyFont="1" applyFill="1"/>
    <xf numFmtId="49" fontId="4" fillId="7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0" fontId="1" fillId="9" borderId="0" xfId="5"/>
    <xf numFmtId="0" fontId="1" fillId="9" borderId="0" xfId="5" applyAlignment="1"/>
    <xf numFmtId="0" fontId="1" fillId="10" borderId="0" xfId="6"/>
    <xf numFmtId="0" fontId="1" fillId="10" borderId="0" xfId="6" applyAlignment="1"/>
    <xf numFmtId="49" fontId="1" fillId="2" borderId="0" xfId="1" applyNumberFormat="1"/>
    <xf numFmtId="0" fontId="1" fillId="2" borderId="0" xfId="1" applyAlignment="1"/>
    <xf numFmtId="49" fontId="4" fillId="12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0" xfId="0" applyFont="1" applyFill="1"/>
    <xf numFmtId="0" fontId="2" fillId="0" borderId="0" xfId="0" applyFont="1" applyAlignment="1">
      <alignment horizontal="left"/>
    </xf>
    <xf numFmtId="0" fontId="5" fillId="0" borderId="0" xfId="0" applyFont="1"/>
    <xf numFmtId="0" fontId="5" fillId="0" borderId="1" xfId="0" applyFont="1" applyBorder="1"/>
    <xf numFmtId="171" fontId="3" fillId="0" borderId="1" xfId="0" applyNumberFormat="1" applyFont="1" applyBorder="1"/>
    <xf numFmtId="1" fontId="3" fillId="0" borderId="1" xfId="0" applyNumberFormat="1" applyFont="1" applyBorder="1"/>
    <xf numFmtId="172" fontId="3" fillId="0" borderId="0" xfId="0" applyNumberFormat="1" applyFont="1"/>
    <xf numFmtId="0" fontId="9" fillId="14" borderId="0" xfId="0" applyFont="1" applyFill="1" applyAlignment="1">
      <alignment horizontal="left"/>
    </xf>
    <xf numFmtId="0" fontId="4" fillId="13" borderId="0" xfId="8" applyFont="1"/>
    <xf numFmtId="2" fontId="3" fillId="0" borderId="1" xfId="0" applyNumberFormat="1" applyFont="1" applyBorder="1"/>
    <xf numFmtId="0" fontId="0" fillId="7" borderId="1" xfId="0" applyFill="1" applyBorder="1" applyAlignment="1">
      <alignment horizontal="center"/>
    </xf>
    <xf numFmtId="0" fontId="0" fillId="0" borderId="1" xfId="0" applyBorder="1"/>
    <xf numFmtId="9" fontId="0" fillId="0" borderId="1" xfId="0" applyNumberFormat="1" applyBorder="1"/>
    <xf numFmtId="0" fontId="10" fillId="7" borderId="0" xfId="0" applyFont="1" applyFill="1" applyAlignment="1">
      <alignment horizontal="left"/>
    </xf>
    <xf numFmtId="174" fontId="3" fillId="0" borderId="1" xfId="0" applyNumberFormat="1" applyFont="1" applyBorder="1"/>
    <xf numFmtId="0" fontId="3" fillId="0" borderId="0" xfId="0" applyFont="1" applyBorder="1"/>
    <xf numFmtId="0" fontId="11" fillId="0" borderId="1" xfId="0" applyFont="1" applyBorder="1"/>
    <xf numFmtId="0" fontId="3" fillId="0" borderId="4" xfId="0" applyFont="1" applyBorder="1"/>
    <xf numFmtId="164" fontId="3" fillId="0" borderId="4" xfId="0" applyNumberFormat="1" applyFont="1" applyBorder="1"/>
    <xf numFmtId="0" fontId="3" fillId="0" borderId="5" xfId="0" applyFont="1" applyBorder="1"/>
    <xf numFmtId="164" fontId="3" fillId="0" borderId="5" xfId="0" applyNumberFormat="1" applyFont="1" applyBorder="1"/>
    <xf numFmtId="0" fontId="3" fillId="0" borderId="6" xfId="0" applyFont="1" applyBorder="1"/>
    <xf numFmtId="164" fontId="3" fillId="0" borderId="6" xfId="0" applyNumberFormat="1" applyFont="1" applyBorder="1"/>
    <xf numFmtId="0" fontId="3" fillId="15" borderId="1" xfId="0" applyFont="1" applyFill="1" applyBorder="1"/>
    <xf numFmtId="164" fontId="3" fillId="15" borderId="1" xfId="0" applyNumberFormat="1" applyFont="1" applyFill="1" applyBorder="1"/>
    <xf numFmtId="0" fontId="5" fillId="0" borderId="2" xfId="7" applyFont="1"/>
    <xf numFmtId="0" fontId="3" fillId="2" borderId="3" xfId="1" applyFont="1" applyBorder="1"/>
    <xf numFmtId="0" fontId="3" fillId="2" borderId="4" xfId="1" applyFont="1" applyBorder="1"/>
    <xf numFmtId="0" fontId="3" fillId="2" borderId="5" xfId="1" applyFont="1" applyBorder="1"/>
    <xf numFmtId="0" fontId="5" fillId="15" borderId="1" xfId="7" applyFont="1" applyFill="1" applyBorder="1"/>
    <xf numFmtId="0" fontId="3" fillId="15" borderId="1" xfId="1" applyFont="1" applyFill="1" applyBorder="1"/>
    <xf numFmtId="0" fontId="11" fillId="0" borderId="1" xfId="1" applyFont="1" applyFill="1" applyBorder="1" applyAlignment="1">
      <alignment horizontal="left" indent="2"/>
    </xf>
    <xf numFmtId="0" fontId="3" fillId="0" borderId="1" xfId="0" applyFont="1" applyFill="1" applyBorder="1"/>
    <xf numFmtId="0" fontId="11" fillId="0" borderId="1" xfId="7" applyFont="1" applyFill="1" applyBorder="1" applyAlignment="1"/>
    <xf numFmtId="0" fontId="11" fillId="0" borderId="1" xfId="7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11" fillId="0" borderId="7" xfId="0" applyFont="1" applyBorder="1"/>
    <xf numFmtId="0" fontId="11" fillId="0" borderId="7" xfId="7" applyFont="1" applyFill="1" applyBorder="1" applyAlignment="1">
      <alignment horizontal="center"/>
    </xf>
    <xf numFmtId="0" fontId="11" fillId="0" borderId="8" xfId="7" applyFont="1" applyFill="1" applyBorder="1" applyAlignment="1">
      <alignment horizontal="center"/>
    </xf>
    <xf numFmtId="176" fontId="3" fillId="0" borderId="0" xfId="0" applyNumberFormat="1" applyFont="1" applyFill="1" applyBorder="1" applyAlignment="1">
      <alignment horizontal="right"/>
    </xf>
    <xf numFmtId="164" fontId="3" fillId="0" borderId="7" xfId="0" applyNumberFormat="1" applyFont="1" applyFill="1" applyBorder="1" applyAlignment="1">
      <alignment horizontal="right"/>
    </xf>
    <xf numFmtId="164" fontId="3" fillId="0" borderId="8" xfId="0" applyNumberFormat="1" applyFont="1" applyFill="1" applyBorder="1" applyAlignment="1">
      <alignment horizontal="right"/>
    </xf>
  </cellXfs>
  <cellStyles count="9">
    <cellStyle name="20% - Accent1" xfId="1" builtinId="30"/>
    <cellStyle name="20% - Accent3" xfId="5" builtinId="38"/>
    <cellStyle name="20% - Accent6" xfId="3" builtinId="50"/>
    <cellStyle name="60% - Accent1" xfId="2" builtinId="32"/>
    <cellStyle name="60% - Accent3" xfId="6" builtinId="40"/>
    <cellStyle name="60% - Accent6" xfId="4" builtinId="52"/>
    <cellStyle name="Accent2" xfId="8" builtinId="33"/>
    <cellStyle name="Normal" xfId="0" builtinId="0"/>
    <cellStyle name="Total" xfId="7" builtinId="2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7526C-63EF-4A09-BF7A-3CE1A17BEC30}">
  <sheetPr>
    <tabColor theme="4"/>
  </sheetPr>
  <dimension ref="A1:E26"/>
  <sheetViews>
    <sheetView workbookViewId="0">
      <selection activeCell="K19" sqref="K19"/>
    </sheetView>
  </sheetViews>
  <sheetFormatPr defaultRowHeight="14.4" x14ac:dyDescent="0.3"/>
  <cols>
    <col min="1" max="1" width="21.77734375" bestFit="1" customWidth="1"/>
  </cols>
  <sheetData>
    <row r="1" spans="1:5" ht="15.6" x14ac:dyDescent="0.3">
      <c r="A1" s="24" t="s">
        <v>0</v>
      </c>
      <c r="B1" s="1"/>
      <c r="C1" s="1"/>
      <c r="D1" s="1"/>
      <c r="E1" s="1"/>
    </row>
    <row r="2" spans="1:5" x14ac:dyDescent="0.3">
      <c r="A2" s="1"/>
      <c r="B2" s="1"/>
      <c r="C2" s="1"/>
      <c r="D2" s="1"/>
      <c r="E2" s="1"/>
    </row>
    <row r="3" spans="1:5" x14ac:dyDescent="0.3">
      <c r="A3" s="13" t="s">
        <v>1</v>
      </c>
      <c r="B3" s="13" t="s">
        <v>2</v>
      </c>
      <c r="C3" s="13" t="s">
        <v>3</v>
      </c>
      <c r="D3" s="1"/>
      <c r="E3" s="1"/>
    </row>
    <row r="4" spans="1:5" x14ac:dyDescent="0.3">
      <c r="A4" s="5" t="s">
        <v>4</v>
      </c>
      <c r="B4" s="14">
        <v>12000</v>
      </c>
      <c r="C4" s="5"/>
      <c r="D4" s="1"/>
      <c r="E4" s="1"/>
    </row>
    <row r="5" spans="1:5" x14ac:dyDescent="0.3">
      <c r="A5" s="5" t="s">
        <v>5</v>
      </c>
      <c r="B5" s="14">
        <v>4000</v>
      </c>
      <c r="C5" s="5"/>
      <c r="D5" s="1"/>
      <c r="E5" s="1"/>
    </row>
    <row r="6" spans="1:5" x14ac:dyDescent="0.3">
      <c r="A6" s="5" t="s">
        <v>6</v>
      </c>
      <c r="B6" s="14">
        <v>6000</v>
      </c>
      <c r="C6" s="5"/>
      <c r="D6" s="1"/>
      <c r="E6" s="1"/>
    </row>
    <row r="7" spans="1:5" x14ac:dyDescent="0.3">
      <c r="A7" s="5" t="s">
        <v>7</v>
      </c>
      <c r="B7" s="14"/>
      <c r="C7" s="5">
        <v>400</v>
      </c>
      <c r="D7" s="1"/>
      <c r="E7" s="1"/>
    </row>
    <row r="8" spans="1:5" x14ac:dyDescent="0.3">
      <c r="A8" s="5" t="s">
        <v>8</v>
      </c>
      <c r="B8" s="5"/>
      <c r="C8" s="5">
        <v>200</v>
      </c>
      <c r="D8" s="1"/>
      <c r="E8" s="1"/>
    </row>
    <row r="9" spans="1:5" x14ac:dyDescent="0.3">
      <c r="A9" s="5" t="s">
        <v>9</v>
      </c>
      <c r="B9" s="5"/>
      <c r="C9" s="5">
        <v>100</v>
      </c>
      <c r="D9" s="1"/>
      <c r="E9" s="1"/>
    </row>
    <row r="10" spans="1:5" x14ac:dyDescent="0.3">
      <c r="A10" s="5" t="s">
        <v>10</v>
      </c>
      <c r="B10" s="5"/>
      <c r="C10" s="5">
        <v>650</v>
      </c>
      <c r="D10" s="1"/>
      <c r="E10" s="1"/>
    </row>
    <row r="11" spans="1:5" x14ac:dyDescent="0.3">
      <c r="A11" s="5" t="s">
        <v>11</v>
      </c>
      <c r="B11" s="5"/>
      <c r="C11" s="5">
        <v>350</v>
      </c>
      <c r="D11" s="1"/>
      <c r="E11" s="1"/>
    </row>
    <row r="12" spans="1:5" x14ac:dyDescent="0.3">
      <c r="A12" s="5" t="s">
        <v>12</v>
      </c>
      <c r="B12" s="5"/>
      <c r="C12" s="14">
        <v>2000</v>
      </c>
      <c r="D12" s="1"/>
      <c r="E12" s="1"/>
    </row>
    <row r="13" spans="1:5" x14ac:dyDescent="0.3">
      <c r="A13" s="5" t="s">
        <v>13</v>
      </c>
      <c r="B13" s="5"/>
      <c r="C13" s="5">
        <v>300</v>
      </c>
      <c r="D13" s="1"/>
      <c r="E13" s="1"/>
    </row>
    <row r="14" spans="1:5" x14ac:dyDescent="0.3">
      <c r="A14" s="5" t="s">
        <v>14</v>
      </c>
      <c r="B14" s="5"/>
      <c r="C14" s="14">
        <v>1500</v>
      </c>
      <c r="D14" s="1"/>
      <c r="E14" s="1"/>
    </row>
    <row r="15" spans="1:5" x14ac:dyDescent="0.3">
      <c r="A15" s="5" t="s">
        <v>15</v>
      </c>
      <c r="B15" s="5"/>
      <c r="C15" s="14">
        <v>5000</v>
      </c>
      <c r="D15" s="1"/>
      <c r="E15" s="1"/>
    </row>
    <row r="16" spans="1:5" x14ac:dyDescent="0.3">
      <c r="A16" s="5" t="s">
        <v>16</v>
      </c>
      <c r="B16" s="5"/>
      <c r="C16" s="5">
        <v>600</v>
      </c>
      <c r="D16" s="1"/>
      <c r="E16" s="1"/>
    </row>
    <row r="17" spans="1:5" x14ac:dyDescent="0.3">
      <c r="A17" s="5" t="s">
        <v>17</v>
      </c>
      <c r="B17" s="5"/>
      <c r="C17" s="14">
        <v>3000</v>
      </c>
      <c r="D17" s="1"/>
      <c r="E17" s="1"/>
    </row>
    <row r="18" spans="1:5" x14ac:dyDescent="0.3">
      <c r="A18" s="15" t="s">
        <v>18</v>
      </c>
      <c r="B18" s="16">
        <f>SUM(B4:B17)</f>
        <v>22000</v>
      </c>
      <c r="C18" s="1">
        <f>SUM(C7:C17)</f>
        <v>14100</v>
      </c>
      <c r="D18" s="1"/>
      <c r="E18" s="1"/>
    </row>
    <row r="19" spans="1:5" x14ac:dyDescent="0.3">
      <c r="A19" s="5" t="s">
        <v>19</v>
      </c>
      <c r="B19" s="1"/>
      <c r="C19" s="16">
        <f>B18-C18</f>
        <v>7900</v>
      </c>
      <c r="D19" s="1"/>
      <c r="E19" s="1"/>
    </row>
    <row r="20" spans="1:5" x14ac:dyDescent="0.3">
      <c r="A20" s="5" t="s">
        <v>20</v>
      </c>
      <c r="B20" s="1"/>
      <c r="C20" s="17">
        <v>0.1</v>
      </c>
      <c r="D20" s="1"/>
      <c r="E20" s="1"/>
    </row>
    <row r="21" spans="1:5" x14ac:dyDescent="0.3">
      <c r="A21" s="5" t="s">
        <v>21</v>
      </c>
      <c r="B21" s="1"/>
      <c r="C21" s="1">
        <f>C19-C19*C20</f>
        <v>7110</v>
      </c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32B0F-E301-4613-876C-9996E1B47589}">
  <sheetPr>
    <tabColor theme="3"/>
  </sheetPr>
  <dimension ref="A1:H20"/>
  <sheetViews>
    <sheetView workbookViewId="0">
      <selection activeCell="D27" sqref="D27:D28"/>
    </sheetView>
  </sheetViews>
  <sheetFormatPr defaultRowHeight="14.4" x14ac:dyDescent="0.3"/>
  <cols>
    <col min="1" max="1" width="11.21875" bestFit="1" customWidth="1"/>
    <col min="2" max="2" width="11.5546875" bestFit="1" customWidth="1"/>
    <col min="3" max="3" width="16.6640625" bestFit="1" customWidth="1"/>
    <col min="4" max="4" width="15.21875" bestFit="1" customWidth="1"/>
    <col min="5" max="6" width="9.88671875" bestFit="1" customWidth="1"/>
    <col min="7" max="7" width="13.44140625" bestFit="1" customWidth="1"/>
  </cols>
  <sheetData>
    <row r="1" spans="1:8" ht="15.6" x14ac:dyDescent="0.3">
      <c r="A1" s="44" t="s">
        <v>22</v>
      </c>
      <c r="B1" s="44"/>
      <c r="C1" s="44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1"/>
    </row>
    <row r="4" spans="1:8" x14ac:dyDescent="0.3">
      <c r="A4" s="3" t="s">
        <v>30</v>
      </c>
      <c r="B4" s="11" t="s">
        <v>46</v>
      </c>
      <c r="C4" s="4">
        <v>1</v>
      </c>
      <c r="D4" s="4">
        <v>34</v>
      </c>
      <c r="E4" s="4" t="s">
        <v>31</v>
      </c>
      <c r="F4" s="4" t="s">
        <v>32</v>
      </c>
      <c r="G4" s="8">
        <v>51000</v>
      </c>
      <c r="H4" s="1"/>
    </row>
    <row r="5" spans="1:8" x14ac:dyDescent="0.3">
      <c r="A5" s="3" t="s">
        <v>33</v>
      </c>
      <c r="B5" s="10" t="s">
        <v>45</v>
      </c>
      <c r="C5" s="4">
        <v>2</v>
      </c>
      <c r="D5" s="4">
        <v>23</v>
      </c>
      <c r="E5" s="4" t="s">
        <v>31</v>
      </c>
      <c r="F5" s="4" t="s">
        <v>32</v>
      </c>
      <c r="G5" s="8">
        <v>34500</v>
      </c>
      <c r="H5" s="1"/>
    </row>
    <row r="6" spans="1:8" x14ac:dyDescent="0.3">
      <c r="A6" s="3" t="s">
        <v>34</v>
      </c>
      <c r="B6" s="11" t="s">
        <v>46</v>
      </c>
      <c r="C6" s="4">
        <v>3</v>
      </c>
      <c r="D6" s="4">
        <v>65</v>
      </c>
      <c r="E6" s="4" t="s">
        <v>31</v>
      </c>
      <c r="F6" s="4" t="s">
        <v>35</v>
      </c>
      <c r="G6" s="8">
        <v>87750</v>
      </c>
      <c r="H6" s="1"/>
    </row>
    <row r="7" spans="1:8" x14ac:dyDescent="0.3">
      <c r="A7" s="3" t="s">
        <v>36</v>
      </c>
      <c r="B7" s="10" t="s">
        <v>37</v>
      </c>
      <c r="C7" s="4">
        <v>4</v>
      </c>
      <c r="D7" s="4">
        <v>23</v>
      </c>
      <c r="E7" s="4" t="s">
        <v>31</v>
      </c>
      <c r="F7" s="4" t="s">
        <v>38</v>
      </c>
      <c r="G7" s="8">
        <v>31050</v>
      </c>
      <c r="H7" s="1"/>
    </row>
    <row r="8" spans="1:8" x14ac:dyDescent="0.3">
      <c r="A8" s="3" t="s">
        <v>39</v>
      </c>
      <c r="B8" s="10" t="s">
        <v>45</v>
      </c>
      <c r="C8" s="4">
        <v>2</v>
      </c>
      <c r="D8" s="4">
        <v>22</v>
      </c>
      <c r="E8" s="4" t="s">
        <v>40</v>
      </c>
      <c r="F8" s="4" t="s">
        <v>32</v>
      </c>
      <c r="G8" s="8">
        <v>39600</v>
      </c>
      <c r="H8" s="1"/>
    </row>
    <row r="9" spans="1:8" x14ac:dyDescent="0.3">
      <c r="A9" s="3" t="s">
        <v>41</v>
      </c>
      <c r="B9" s="11" t="s">
        <v>46</v>
      </c>
      <c r="C9" s="4">
        <v>2</v>
      </c>
      <c r="D9" s="4">
        <v>33</v>
      </c>
      <c r="E9" s="4" t="s">
        <v>42</v>
      </c>
      <c r="F9" s="4" t="s">
        <v>32</v>
      </c>
      <c r="G9" s="8">
        <v>66000</v>
      </c>
      <c r="H9" s="1"/>
    </row>
    <row r="10" spans="1:8" x14ac:dyDescent="0.3">
      <c r="A10" s="1"/>
      <c r="B10" s="1"/>
      <c r="C10" s="1"/>
      <c r="D10" s="1"/>
      <c r="E10" s="1"/>
      <c r="F10" s="1"/>
      <c r="G10" s="1"/>
      <c r="H10" s="1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x14ac:dyDescent="0.3">
      <c r="A12" s="7" t="s">
        <v>43</v>
      </c>
      <c r="B12" s="1" t="s">
        <v>45</v>
      </c>
      <c r="C12" s="1">
        <f>COUNTIF(B4:B9, B12)</f>
        <v>2</v>
      </c>
      <c r="D12" s="1"/>
      <c r="E12" s="1"/>
      <c r="F12" s="1"/>
      <c r="G12" s="9"/>
      <c r="H12" s="1"/>
    </row>
    <row r="13" spans="1:8" x14ac:dyDescent="0.3">
      <c r="A13" s="1"/>
      <c r="B13" s="1"/>
      <c r="C13" s="1"/>
      <c r="D13" s="1"/>
      <c r="E13" s="1"/>
      <c r="F13" s="1"/>
      <c r="G13" s="9"/>
      <c r="H13" s="1"/>
    </row>
    <row r="14" spans="1:8" x14ac:dyDescent="0.3">
      <c r="A14" s="1"/>
      <c r="B14" s="1"/>
      <c r="C14" s="1"/>
      <c r="D14" s="1"/>
      <c r="E14" s="1"/>
      <c r="F14" s="1"/>
      <c r="G14" s="9"/>
      <c r="H14" s="1"/>
    </row>
    <row r="15" spans="1:8" x14ac:dyDescent="0.3">
      <c r="A15" s="6" t="s">
        <v>44</v>
      </c>
      <c r="B15" s="1" t="s">
        <v>46</v>
      </c>
      <c r="C15" s="12">
        <f>SUMIF(B4:B9,B15,G4:G9)</f>
        <v>204750</v>
      </c>
      <c r="D15" s="1"/>
      <c r="E15" s="1"/>
      <c r="F15" s="1"/>
      <c r="G15" s="9"/>
      <c r="H15" s="1"/>
    </row>
    <row r="16" spans="1:8" x14ac:dyDescent="0.3">
      <c r="A16" s="1"/>
      <c r="B16" s="1"/>
      <c r="C16" s="1"/>
      <c r="D16" s="1"/>
      <c r="E16" s="1"/>
      <c r="F16" s="1"/>
      <c r="G16" s="9"/>
      <c r="H16" s="1"/>
    </row>
    <row r="17" spans="1:8" x14ac:dyDescent="0.3">
      <c r="A17" s="1"/>
      <c r="B17" s="1"/>
      <c r="C17" s="1"/>
      <c r="D17" s="1"/>
      <c r="E17" s="1"/>
      <c r="F17" s="1"/>
      <c r="G17" s="9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0C7EF-09B9-47ED-87C3-C67F5A43E77B}">
  <sheetPr>
    <tabColor theme="9"/>
  </sheetPr>
  <dimension ref="A2:G9"/>
  <sheetViews>
    <sheetView workbookViewId="0">
      <selection activeCell="D7" sqref="D7"/>
    </sheetView>
  </sheetViews>
  <sheetFormatPr defaultRowHeight="14.4" x14ac:dyDescent="0.3"/>
  <cols>
    <col min="1" max="1" width="7.88671875" bestFit="1" customWidth="1"/>
    <col min="2" max="2" width="7.77734375" bestFit="1" customWidth="1"/>
    <col min="3" max="4" width="11" bestFit="1" customWidth="1"/>
  </cols>
  <sheetData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18" t="s">
        <v>47</v>
      </c>
      <c r="B3" s="18" t="s">
        <v>48</v>
      </c>
      <c r="C3" s="18" t="s">
        <v>49</v>
      </c>
      <c r="D3" s="18" t="s">
        <v>50</v>
      </c>
      <c r="E3" s="1"/>
      <c r="F3" s="1"/>
      <c r="G3" s="1"/>
    </row>
    <row r="4" spans="1:7" x14ac:dyDescent="0.3">
      <c r="A4" s="19">
        <v>10</v>
      </c>
      <c r="B4" s="19">
        <v>12</v>
      </c>
      <c r="C4" s="20" t="b">
        <f>A4=B4</f>
        <v>0</v>
      </c>
      <c r="D4" s="21" t="str">
        <f>IF(A4=B4, "Verdadero", "Falso")</f>
        <v>Falso</v>
      </c>
      <c r="E4" s="1"/>
      <c r="F4" s="1"/>
      <c r="G4" s="1"/>
    </row>
    <row r="5" spans="1:7" x14ac:dyDescent="0.3">
      <c r="A5" s="19">
        <v>20</v>
      </c>
      <c r="B5" s="19">
        <v>6</v>
      </c>
      <c r="C5" s="22" t="b">
        <f>A5&gt;B5</f>
        <v>1</v>
      </c>
      <c r="D5" s="23" t="str">
        <f>IF(A5&gt;=B5, "Verdadero", "Falso")</f>
        <v>Verdadero</v>
      </c>
      <c r="E5" s="1"/>
      <c r="F5" s="1"/>
      <c r="G5" s="1"/>
    </row>
    <row r="6" spans="1:7" x14ac:dyDescent="0.3">
      <c r="A6" s="19">
        <v>30</v>
      </c>
      <c r="B6" s="19">
        <v>12</v>
      </c>
      <c r="C6" s="20" t="b">
        <f>B6&gt;A6</f>
        <v>0</v>
      </c>
      <c r="D6" s="21" t="str">
        <f>IF(A6&lt;=B6, "Verdadero", "Falso")</f>
        <v>Falso</v>
      </c>
      <c r="E6" s="1"/>
      <c r="F6" s="1"/>
      <c r="G6" s="1"/>
    </row>
    <row r="7" spans="1:7" x14ac:dyDescent="0.3">
      <c r="A7" s="19">
        <v>40</v>
      </c>
      <c r="B7" s="19">
        <v>16</v>
      </c>
      <c r="C7" s="22" t="b">
        <f>A7&lt;&gt;B7</f>
        <v>1</v>
      </c>
      <c r="D7" s="23" t="str">
        <f>IF(A7&lt;&gt;B7, "Verdadero", "Falso")</f>
        <v>Verdadero</v>
      </c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</sheetData>
  <pageMargins left="0.7" right="0.7" top="0.75" bottom="0.75" header="0.3" footer="0.3"/>
  <ignoredErrors>
    <ignoredError sqref="D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82813-5EDA-497C-BDDB-FCDC61873BB0}">
  <sheetPr>
    <tabColor rgb="FFC00000"/>
  </sheetPr>
  <dimension ref="A1:J16"/>
  <sheetViews>
    <sheetView workbookViewId="0">
      <selection activeCell="G18" sqref="G18"/>
    </sheetView>
  </sheetViews>
  <sheetFormatPr defaultRowHeight="14.4" x14ac:dyDescent="0.3"/>
  <cols>
    <col min="2" max="2" width="7.21875" bestFit="1" customWidth="1"/>
    <col min="3" max="3" width="16.6640625" bestFit="1" customWidth="1"/>
    <col min="4" max="4" width="5.21875" bestFit="1" customWidth="1"/>
    <col min="5" max="5" width="10.33203125" customWidth="1"/>
    <col min="8" max="8" width="16.5546875" bestFit="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1"/>
      <c r="B3" s="26" t="s">
        <v>51</v>
      </c>
      <c r="C3" s="26" t="s">
        <v>52</v>
      </c>
      <c r="D3" s="27" t="s">
        <v>53</v>
      </c>
      <c r="E3" s="27" t="s">
        <v>4</v>
      </c>
      <c r="F3" s="1"/>
      <c r="G3" s="25" t="s">
        <v>83</v>
      </c>
      <c r="H3" s="25" t="s">
        <v>84</v>
      </c>
      <c r="I3" s="1"/>
      <c r="J3" s="1"/>
    </row>
    <row r="4" spans="1:10" x14ac:dyDescent="0.3">
      <c r="A4" s="1"/>
      <c r="B4" s="3" t="s">
        <v>54</v>
      </c>
      <c r="C4" s="3" t="s">
        <v>55</v>
      </c>
      <c r="D4" s="28">
        <v>25</v>
      </c>
      <c r="E4" s="29" t="s">
        <v>56</v>
      </c>
      <c r="F4" s="1"/>
      <c r="G4" s="35" t="s">
        <v>54</v>
      </c>
      <c r="H4" s="36" t="str">
        <f>LOOKUP(G4,B4:B13,C4:C13)</f>
        <v>Juan Perez</v>
      </c>
      <c r="I4" s="1"/>
      <c r="J4" s="1"/>
    </row>
    <row r="5" spans="1:10" x14ac:dyDescent="0.3">
      <c r="A5" s="1"/>
      <c r="B5" s="3" t="s">
        <v>57</v>
      </c>
      <c r="C5" s="3" t="s">
        <v>58</v>
      </c>
      <c r="D5" s="28">
        <v>45</v>
      </c>
      <c r="E5" s="29" t="s">
        <v>59</v>
      </c>
      <c r="F5" s="1"/>
      <c r="G5" s="37" t="s">
        <v>57</v>
      </c>
      <c r="H5" s="38" t="str">
        <f>LOOKUP(G5,B5:B14,C5:C14)</f>
        <v>Andres Sanchez</v>
      </c>
      <c r="I5" s="1"/>
      <c r="J5" s="1"/>
    </row>
    <row r="6" spans="1:10" x14ac:dyDescent="0.3">
      <c r="A6" s="1"/>
      <c r="B6" s="3" t="s">
        <v>60</v>
      </c>
      <c r="C6" s="3" t="s">
        <v>61</v>
      </c>
      <c r="D6" s="28">
        <v>34</v>
      </c>
      <c r="E6" s="29" t="s">
        <v>62</v>
      </c>
      <c r="F6" s="1"/>
      <c r="G6" s="35" t="s">
        <v>60</v>
      </c>
      <c r="H6" s="36" t="str">
        <f t="shared" ref="H6:H14" si="0">LOOKUP(G6,B6:B15,C6:C15)</f>
        <v>Mario Gonzalez</v>
      </c>
      <c r="I6" s="1"/>
      <c r="J6" s="1"/>
    </row>
    <row r="7" spans="1:10" x14ac:dyDescent="0.3">
      <c r="A7" s="1"/>
      <c r="B7" s="3" t="s">
        <v>63</v>
      </c>
      <c r="C7" s="3" t="s">
        <v>64</v>
      </c>
      <c r="D7" s="28">
        <v>34</v>
      </c>
      <c r="E7" s="29" t="s">
        <v>62</v>
      </c>
      <c r="F7" s="1"/>
      <c r="G7" s="37" t="s">
        <v>63</v>
      </c>
      <c r="H7" s="38" t="str">
        <f t="shared" si="0"/>
        <v>María Dominguez</v>
      </c>
      <c r="I7" s="1"/>
      <c r="J7" s="1"/>
    </row>
    <row r="8" spans="1:10" x14ac:dyDescent="0.3">
      <c r="A8" s="1"/>
      <c r="B8" s="3" t="s">
        <v>65</v>
      </c>
      <c r="C8" s="3" t="s">
        <v>66</v>
      </c>
      <c r="D8" s="28">
        <v>23</v>
      </c>
      <c r="E8" s="29" t="s">
        <v>67</v>
      </c>
      <c r="F8" s="1"/>
      <c r="G8" s="35" t="s">
        <v>65</v>
      </c>
      <c r="H8" s="36" t="str">
        <f t="shared" si="0"/>
        <v>Juana Velez</v>
      </c>
      <c r="I8" s="1"/>
      <c r="J8" s="1"/>
    </row>
    <row r="9" spans="1:10" x14ac:dyDescent="0.3">
      <c r="A9" s="1"/>
      <c r="B9" s="3" t="s">
        <v>68</v>
      </c>
      <c r="C9" s="3" t="s">
        <v>69</v>
      </c>
      <c r="D9" s="28">
        <v>54</v>
      </c>
      <c r="E9" s="29" t="s">
        <v>70</v>
      </c>
      <c r="F9" s="1"/>
      <c r="G9" s="37" t="s">
        <v>68</v>
      </c>
      <c r="H9" s="38" t="str">
        <f t="shared" si="0"/>
        <v>Pedro Urdiales</v>
      </c>
      <c r="I9" s="1"/>
      <c r="J9" s="1"/>
    </row>
    <row r="10" spans="1:10" x14ac:dyDescent="0.3">
      <c r="A10" s="1"/>
      <c r="B10" s="3" t="s">
        <v>71</v>
      </c>
      <c r="C10" s="3" t="s">
        <v>72</v>
      </c>
      <c r="D10" s="28">
        <v>47</v>
      </c>
      <c r="E10" s="29" t="s">
        <v>73</v>
      </c>
      <c r="F10" s="1"/>
      <c r="G10" s="35" t="s">
        <v>71</v>
      </c>
      <c r="H10" s="36" t="str">
        <f t="shared" si="0"/>
        <v>Samanta Loja</v>
      </c>
      <c r="I10" s="1"/>
      <c r="J10" s="1"/>
    </row>
    <row r="11" spans="1:10" x14ac:dyDescent="0.3">
      <c r="A11" s="1"/>
      <c r="B11" s="3" t="s">
        <v>74</v>
      </c>
      <c r="C11" s="3" t="s">
        <v>75</v>
      </c>
      <c r="D11" s="28">
        <v>42</v>
      </c>
      <c r="E11" s="29" t="s">
        <v>76</v>
      </c>
      <c r="F11" s="1"/>
      <c r="G11" s="37" t="s">
        <v>74</v>
      </c>
      <c r="H11" s="38" t="str">
        <f t="shared" si="0"/>
        <v>Melina Lima</v>
      </c>
      <c r="I11" s="1"/>
      <c r="J11" s="1"/>
    </row>
    <row r="12" spans="1:10" x14ac:dyDescent="0.3">
      <c r="A12" s="1"/>
      <c r="B12" s="3" t="s">
        <v>77</v>
      </c>
      <c r="C12" s="3" t="s">
        <v>78</v>
      </c>
      <c r="D12" s="28">
        <v>37</v>
      </c>
      <c r="E12" s="29" t="s">
        <v>79</v>
      </c>
      <c r="F12" s="1"/>
      <c r="G12" s="35" t="s">
        <v>77</v>
      </c>
      <c r="H12" s="36" t="str">
        <f t="shared" si="0"/>
        <v>Melisa Ruales</v>
      </c>
      <c r="I12" s="1"/>
      <c r="J12" s="1"/>
    </row>
    <row r="13" spans="1:10" x14ac:dyDescent="0.3">
      <c r="A13" s="1"/>
      <c r="B13" s="3" t="s">
        <v>80</v>
      </c>
      <c r="C13" s="3" t="s">
        <v>81</v>
      </c>
      <c r="D13" s="28">
        <v>35</v>
      </c>
      <c r="E13" s="29" t="s">
        <v>82</v>
      </c>
      <c r="F13" s="1"/>
      <c r="G13" s="37" t="s">
        <v>80</v>
      </c>
      <c r="H13" s="38" t="str">
        <f t="shared" si="0"/>
        <v>Esteban Arredondo</v>
      </c>
      <c r="I13" s="1"/>
      <c r="J13" s="1"/>
    </row>
    <row r="14" spans="1:10" x14ac:dyDescent="0.3">
      <c r="A14" s="1"/>
      <c r="B14" s="1"/>
      <c r="C14" s="1"/>
      <c r="D14" s="1"/>
      <c r="E14" s="1"/>
      <c r="F14" s="1"/>
      <c r="G14" s="1" t="s">
        <v>85</v>
      </c>
      <c r="H14" s="1" t="e">
        <f t="shared" si="0"/>
        <v>#N/A</v>
      </c>
      <c r="I14" s="1"/>
      <c r="J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BC19B-67A6-4FA8-951B-A55AED888822}">
  <sheetPr>
    <tabColor rgb="FFFFC000"/>
  </sheetPr>
  <dimension ref="B4:H15"/>
  <sheetViews>
    <sheetView workbookViewId="0">
      <selection activeCell="H24" sqref="H24"/>
    </sheetView>
  </sheetViews>
  <sheetFormatPr defaultRowHeight="14.4" x14ac:dyDescent="0.3"/>
  <cols>
    <col min="3" max="3" width="16.5546875" bestFit="1" customWidth="1"/>
    <col min="5" max="5" width="11" customWidth="1"/>
    <col min="8" max="8" width="15.5546875" bestFit="1" customWidth="1"/>
  </cols>
  <sheetData>
    <row r="4" spans="2:8" x14ac:dyDescent="0.3">
      <c r="B4" s="33" t="s">
        <v>51</v>
      </c>
      <c r="C4" s="33" t="s">
        <v>52</v>
      </c>
      <c r="D4" s="31" t="s">
        <v>53</v>
      </c>
      <c r="E4" s="31" t="s">
        <v>4</v>
      </c>
      <c r="F4" s="1"/>
      <c r="G4" s="32" t="s">
        <v>83</v>
      </c>
      <c r="H4" s="32" t="s">
        <v>84</v>
      </c>
    </row>
    <row r="5" spans="2:8" x14ac:dyDescent="0.3">
      <c r="B5" s="34" t="s">
        <v>54</v>
      </c>
      <c r="C5" s="34" t="s">
        <v>55</v>
      </c>
      <c r="D5" s="28">
        <v>25</v>
      </c>
      <c r="E5" s="28" t="s">
        <v>56</v>
      </c>
      <c r="F5" s="1"/>
      <c r="G5" s="39" t="s">
        <v>57</v>
      </c>
      <c r="H5" s="40">
        <f>VLOOKUP(G5,B5:E14,3,0)</f>
        <v>45</v>
      </c>
    </row>
    <row r="6" spans="2:8" x14ac:dyDescent="0.3">
      <c r="B6" s="34" t="s">
        <v>57</v>
      </c>
      <c r="C6" s="34" t="s">
        <v>58</v>
      </c>
      <c r="D6" s="28">
        <v>45</v>
      </c>
      <c r="E6" s="28" t="s">
        <v>59</v>
      </c>
      <c r="F6" s="1"/>
      <c r="G6" s="1" t="s">
        <v>57</v>
      </c>
      <c r="H6" s="1">
        <f t="shared" ref="H6:H15" si="0">VLOOKUP(G6,B6:E15,3,0)</f>
        <v>45</v>
      </c>
    </row>
    <row r="7" spans="2:8" x14ac:dyDescent="0.3">
      <c r="B7" s="34" t="s">
        <v>60</v>
      </c>
      <c r="C7" s="34" t="s">
        <v>61</v>
      </c>
      <c r="D7" s="28">
        <v>34</v>
      </c>
      <c r="E7" s="28" t="s">
        <v>62</v>
      </c>
      <c r="F7" s="1"/>
      <c r="G7" s="39" t="s">
        <v>60</v>
      </c>
      <c r="H7" s="40">
        <f t="shared" si="0"/>
        <v>34</v>
      </c>
    </row>
    <row r="8" spans="2:8" x14ac:dyDescent="0.3">
      <c r="B8" s="34" t="s">
        <v>63</v>
      </c>
      <c r="C8" s="34" t="s">
        <v>64</v>
      </c>
      <c r="D8" s="28">
        <v>34</v>
      </c>
      <c r="E8" s="28" t="s">
        <v>62</v>
      </c>
      <c r="F8" s="1"/>
      <c r="G8" s="1" t="s">
        <v>63</v>
      </c>
      <c r="H8" s="1">
        <f t="shared" si="0"/>
        <v>34</v>
      </c>
    </row>
    <row r="9" spans="2:8" x14ac:dyDescent="0.3">
      <c r="B9" s="34" t="s">
        <v>65</v>
      </c>
      <c r="C9" s="34" t="s">
        <v>66</v>
      </c>
      <c r="D9" s="28">
        <v>23</v>
      </c>
      <c r="E9" s="28" t="s">
        <v>67</v>
      </c>
      <c r="F9" s="1"/>
      <c r="G9" s="40" t="s">
        <v>65</v>
      </c>
      <c r="H9" s="40">
        <f t="shared" si="0"/>
        <v>23</v>
      </c>
    </row>
    <row r="10" spans="2:8" x14ac:dyDescent="0.3">
      <c r="B10" s="34" t="s">
        <v>68</v>
      </c>
      <c r="C10" s="34" t="s">
        <v>69</v>
      </c>
      <c r="D10" s="28">
        <v>54</v>
      </c>
      <c r="E10" s="28" t="s">
        <v>70</v>
      </c>
      <c r="F10" s="1"/>
      <c r="G10" s="1" t="s">
        <v>68</v>
      </c>
      <c r="H10" s="1">
        <f t="shared" si="0"/>
        <v>54</v>
      </c>
    </row>
    <row r="11" spans="2:8" x14ac:dyDescent="0.3">
      <c r="B11" s="34" t="s">
        <v>71</v>
      </c>
      <c r="C11" s="34" t="s">
        <v>72</v>
      </c>
      <c r="D11" s="28">
        <v>47</v>
      </c>
      <c r="E11" s="28" t="s">
        <v>73</v>
      </c>
      <c r="F11" s="1"/>
      <c r="G11" s="40" t="s">
        <v>71</v>
      </c>
      <c r="H11" s="40">
        <f t="shared" si="0"/>
        <v>47</v>
      </c>
    </row>
    <row r="12" spans="2:8" x14ac:dyDescent="0.3">
      <c r="B12" s="34" t="s">
        <v>74</v>
      </c>
      <c r="C12" s="34" t="s">
        <v>75</v>
      </c>
      <c r="D12" s="28">
        <v>42</v>
      </c>
      <c r="E12" s="28" t="s">
        <v>76</v>
      </c>
      <c r="F12" s="1"/>
      <c r="G12" s="1" t="s">
        <v>74</v>
      </c>
      <c r="H12" s="1">
        <f t="shared" si="0"/>
        <v>42</v>
      </c>
    </row>
    <row r="13" spans="2:8" x14ac:dyDescent="0.3">
      <c r="B13" s="34" t="s">
        <v>77</v>
      </c>
      <c r="C13" s="34" t="s">
        <v>78</v>
      </c>
      <c r="D13" s="28">
        <v>37</v>
      </c>
      <c r="E13" s="28" t="s">
        <v>79</v>
      </c>
      <c r="F13" s="1"/>
      <c r="G13" s="40" t="s">
        <v>77</v>
      </c>
      <c r="H13" s="40">
        <f t="shared" si="0"/>
        <v>37</v>
      </c>
    </row>
    <row r="14" spans="2:8" x14ac:dyDescent="0.3">
      <c r="B14" s="34" t="s">
        <v>80</v>
      </c>
      <c r="C14" s="34" t="s">
        <v>81</v>
      </c>
      <c r="D14" s="28">
        <v>35</v>
      </c>
      <c r="E14" s="28" t="s">
        <v>82</v>
      </c>
      <c r="F14" s="1"/>
      <c r="G14" s="1" t="s">
        <v>80</v>
      </c>
      <c r="H14" s="1">
        <f t="shared" si="0"/>
        <v>35</v>
      </c>
    </row>
    <row r="15" spans="2:8" x14ac:dyDescent="0.3">
      <c r="G15" s="1" t="s">
        <v>85</v>
      </c>
      <c r="H15" s="1" t="e">
        <f t="shared" si="0"/>
        <v>#N/A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74C7D-4E4D-4B6F-BDB8-AAC3231FE448}">
  <sheetPr>
    <tabColor rgb="FF00B0F0"/>
  </sheetPr>
  <dimension ref="A1:L17"/>
  <sheetViews>
    <sheetView workbookViewId="0">
      <selection activeCell="B4" sqref="B4:L11"/>
    </sheetView>
  </sheetViews>
  <sheetFormatPr defaultRowHeight="14.4" x14ac:dyDescent="0.3"/>
  <cols>
    <col min="2" max="2" width="9.6640625" bestFit="1" customWidth="1"/>
    <col min="3" max="4" width="14" bestFit="1" customWidth="1"/>
    <col min="5" max="5" width="13.88671875" bestFit="1" customWidth="1"/>
    <col min="6" max="6" width="15.5546875" bestFit="1" customWidth="1"/>
    <col min="7" max="7" width="10.5546875" bestFit="1" customWidth="1"/>
    <col min="8" max="8" width="12.88671875" bestFit="1" customWidth="1"/>
    <col min="9" max="9" width="12.109375" bestFit="1" customWidth="1"/>
    <col min="10" max="10" width="11.109375" bestFit="1" customWidth="1"/>
    <col min="11" max="11" width="12.109375" bestFit="1" customWidth="1"/>
    <col min="12" max="12" width="16.5546875" bestFit="1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">
      <c r="A4" s="1"/>
      <c r="B4" s="33" t="s">
        <v>51</v>
      </c>
      <c r="C4" s="34" t="s">
        <v>54</v>
      </c>
      <c r="D4" s="34" t="s">
        <v>57</v>
      </c>
      <c r="E4" s="34" t="s">
        <v>60</v>
      </c>
      <c r="F4" s="34" t="s">
        <v>63</v>
      </c>
      <c r="G4" s="34" t="s">
        <v>65</v>
      </c>
      <c r="H4" s="34" t="s">
        <v>68</v>
      </c>
      <c r="I4" s="34" t="s">
        <v>71</v>
      </c>
      <c r="J4" s="34" t="s">
        <v>74</v>
      </c>
      <c r="K4" s="34" t="s">
        <v>77</v>
      </c>
      <c r="L4" s="34" t="s">
        <v>80</v>
      </c>
    </row>
    <row r="5" spans="1:12" x14ac:dyDescent="0.3">
      <c r="A5" s="1"/>
      <c r="B5" s="33" t="s">
        <v>52</v>
      </c>
      <c r="C5" s="34" t="s">
        <v>55</v>
      </c>
      <c r="D5" s="34" t="s">
        <v>58</v>
      </c>
      <c r="E5" s="34" t="s">
        <v>61</v>
      </c>
      <c r="F5" s="34" t="s">
        <v>64</v>
      </c>
      <c r="G5" s="34" t="s">
        <v>66</v>
      </c>
      <c r="H5" s="34" t="s">
        <v>69</v>
      </c>
      <c r="I5" s="34" t="s">
        <v>72</v>
      </c>
      <c r="J5" s="34" t="s">
        <v>75</v>
      </c>
      <c r="K5" s="34" t="s">
        <v>78</v>
      </c>
      <c r="L5" s="34" t="s">
        <v>81</v>
      </c>
    </row>
    <row r="6" spans="1:12" x14ac:dyDescent="0.3">
      <c r="A6" s="1"/>
      <c r="B6" s="30" t="s">
        <v>53</v>
      </c>
      <c r="C6" s="28">
        <v>25</v>
      </c>
      <c r="D6" s="28">
        <v>45</v>
      </c>
      <c r="E6" s="28">
        <v>34</v>
      </c>
      <c r="F6" s="28">
        <v>34</v>
      </c>
      <c r="G6" s="28">
        <v>23</v>
      </c>
      <c r="H6" s="28">
        <v>54</v>
      </c>
      <c r="I6" s="28">
        <v>47</v>
      </c>
      <c r="J6" s="28">
        <v>42</v>
      </c>
      <c r="K6" s="28">
        <v>37</v>
      </c>
      <c r="L6" s="28">
        <v>35</v>
      </c>
    </row>
    <row r="7" spans="1:12" x14ac:dyDescent="0.3">
      <c r="A7" s="1"/>
      <c r="B7" s="30" t="s">
        <v>4</v>
      </c>
      <c r="C7" s="28" t="s">
        <v>56</v>
      </c>
      <c r="D7" s="28" t="s">
        <v>59</v>
      </c>
      <c r="E7" s="28" t="s">
        <v>62</v>
      </c>
      <c r="F7" s="28" t="s">
        <v>62</v>
      </c>
      <c r="G7" s="28" t="s">
        <v>67</v>
      </c>
      <c r="H7" s="28" t="s">
        <v>70</v>
      </c>
      <c r="I7" s="28" t="s">
        <v>73</v>
      </c>
      <c r="J7" s="28" t="s">
        <v>76</v>
      </c>
      <c r="K7" s="28" t="s">
        <v>79</v>
      </c>
      <c r="L7" s="28" t="s">
        <v>82</v>
      </c>
    </row>
    <row r="8" spans="1:12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32" t="s">
        <v>83</v>
      </c>
      <c r="C9" s="1" t="s">
        <v>54</v>
      </c>
      <c r="D9" s="1" t="s">
        <v>57</v>
      </c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32" t="s">
        <v>84</v>
      </c>
      <c r="C10" s="1" t="str">
        <f>HLOOKUP(C9,C4:L7,2)</f>
        <v>Juan Perez</v>
      </c>
      <c r="D10" s="1" t="str">
        <f>HLOOKUP(D9,C4:L7,4)</f>
        <v>$1,500.00</v>
      </c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B2254-D544-4CF5-9408-6EB4FBCE2212}">
  <sheetPr>
    <tabColor theme="7"/>
  </sheetPr>
  <dimension ref="A1:J17"/>
  <sheetViews>
    <sheetView workbookViewId="0">
      <selection activeCell="H19" sqref="H19"/>
    </sheetView>
  </sheetViews>
  <sheetFormatPr defaultRowHeight="14.4" x14ac:dyDescent="0.3"/>
  <cols>
    <col min="2" max="2" width="7.33203125" bestFit="1" customWidth="1"/>
    <col min="3" max="3" width="16.5546875" bestFit="1" customWidth="1"/>
    <col min="4" max="4" width="5.44140625" bestFit="1" customWidth="1"/>
    <col min="5" max="5" width="9.109375" bestFit="1" customWidth="1"/>
    <col min="7" max="7" width="7.33203125" bestFit="1" customWidth="1"/>
    <col min="8" max="8" width="15.5546875" bestFit="1" customWidth="1"/>
    <col min="9" max="9" width="1.5546875" bestFit="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">
      <c r="A4" s="1"/>
      <c r="B4" s="41" t="s">
        <v>51</v>
      </c>
      <c r="C4" s="41" t="s">
        <v>52</v>
      </c>
      <c r="D4" s="42" t="s">
        <v>53</v>
      </c>
      <c r="E4" s="42" t="s">
        <v>4</v>
      </c>
      <c r="F4" s="1"/>
      <c r="G4" s="43" t="s">
        <v>83</v>
      </c>
      <c r="H4" s="43" t="s">
        <v>84</v>
      </c>
      <c r="I4" s="1"/>
      <c r="J4" s="1"/>
    </row>
    <row r="5" spans="1:10" x14ac:dyDescent="0.3">
      <c r="A5" s="1"/>
      <c r="B5" s="34" t="s">
        <v>54</v>
      </c>
      <c r="C5" s="34" t="s">
        <v>55</v>
      </c>
      <c r="D5" s="28">
        <v>25</v>
      </c>
      <c r="E5" s="28" t="s">
        <v>56</v>
      </c>
      <c r="F5" s="1"/>
      <c r="G5" s="1" t="s">
        <v>85</v>
      </c>
      <c r="H5" s="1" t="str">
        <f>_xlfn.XLOOKUP(G5,B5:B14,D5:D14, "No encontrado")</f>
        <v>No encontrado</v>
      </c>
      <c r="I5" s="1"/>
      <c r="J5" s="1"/>
    </row>
    <row r="6" spans="1:10" x14ac:dyDescent="0.3">
      <c r="A6" s="1"/>
      <c r="B6" s="34" t="s">
        <v>57</v>
      </c>
      <c r="C6" s="34" t="s">
        <v>58</v>
      </c>
      <c r="D6" s="28">
        <v>45</v>
      </c>
      <c r="E6" s="28" t="s">
        <v>59</v>
      </c>
      <c r="F6" s="1"/>
      <c r="G6" s="1" t="s">
        <v>54</v>
      </c>
      <c r="H6" s="1" t="str">
        <f>_xlfn.XLOOKUP(G6,B5:B14,C5:C14, " No encontrado")</f>
        <v>Juan Perez</v>
      </c>
      <c r="I6" s="1"/>
      <c r="J6" s="1"/>
    </row>
    <row r="7" spans="1:10" x14ac:dyDescent="0.3">
      <c r="A7" s="1"/>
      <c r="B7" s="34" t="s">
        <v>60</v>
      </c>
      <c r="C7" s="34" t="s">
        <v>61</v>
      </c>
      <c r="D7" s="28">
        <v>34</v>
      </c>
      <c r="E7" s="28" t="s">
        <v>62</v>
      </c>
      <c r="F7" s="1"/>
      <c r="G7" s="1" t="s">
        <v>57</v>
      </c>
      <c r="H7" s="1" t="str">
        <f t="shared" ref="H7:H14" si="0">_xlfn.XLOOKUP(G7,B6:B15,C6:C15, " No encontrado")</f>
        <v>Andres Sanchez</v>
      </c>
      <c r="I7" s="1"/>
      <c r="J7" s="1"/>
    </row>
    <row r="8" spans="1:10" x14ac:dyDescent="0.3">
      <c r="A8" s="1"/>
      <c r="B8" s="34" t="s">
        <v>63</v>
      </c>
      <c r="C8" s="34" t="s">
        <v>64</v>
      </c>
      <c r="D8" s="28">
        <v>34</v>
      </c>
      <c r="E8" s="28" t="s">
        <v>62</v>
      </c>
      <c r="F8" s="1"/>
      <c r="G8" s="1" t="s">
        <v>60</v>
      </c>
      <c r="H8" s="1" t="str">
        <f t="shared" si="0"/>
        <v>Mario Gonzalez</v>
      </c>
      <c r="I8" s="1"/>
      <c r="J8" s="1"/>
    </row>
    <row r="9" spans="1:10" x14ac:dyDescent="0.3">
      <c r="A9" s="1"/>
      <c r="B9" s="34" t="s">
        <v>65</v>
      </c>
      <c r="C9" s="34" t="s">
        <v>66</v>
      </c>
      <c r="D9" s="28">
        <v>23</v>
      </c>
      <c r="E9" s="28" t="s">
        <v>67</v>
      </c>
      <c r="F9" s="1"/>
      <c r="G9" s="1" t="s">
        <v>63</v>
      </c>
      <c r="H9" s="1" t="str">
        <f t="shared" si="0"/>
        <v>María Dominguez</v>
      </c>
      <c r="I9" s="1"/>
      <c r="J9" s="1"/>
    </row>
    <row r="10" spans="1:10" x14ac:dyDescent="0.3">
      <c r="A10" s="1"/>
      <c r="B10" s="34" t="s">
        <v>68</v>
      </c>
      <c r="C10" s="34" t="s">
        <v>69</v>
      </c>
      <c r="D10" s="28">
        <v>54</v>
      </c>
      <c r="E10" s="28" t="s">
        <v>70</v>
      </c>
      <c r="F10" s="1"/>
      <c r="G10" s="1" t="s">
        <v>65</v>
      </c>
      <c r="H10" s="1" t="str">
        <f t="shared" si="0"/>
        <v>Juana Velez</v>
      </c>
      <c r="I10" s="1"/>
      <c r="J10" s="1"/>
    </row>
    <row r="11" spans="1:10" x14ac:dyDescent="0.3">
      <c r="A11" s="1"/>
      <c r="B11" s="34" t="s">
        <v>71</v>
      </c>
      <c r="C11" s="34" t="s">
        <v>72</v>
      </c>
      <c r="D11" s="28">
        <v>47</v>
      </c>
      <c r="E11" s="28" t="s">
        <v>73</v>
      </c>
      <c r="F11" s="1"/>
      <c r="G11" s="1" t="s">
        <v>68</v>
      </c>
      <c r="H11" s="1" t="str">
        <f t="shared" si="0"/>
        <v>Pedro Urdiales</v>
      </c>
      <c r="I11" s="1"/>
      <c r="J11" s="1"/>
    </row>
    <row r="12" spans="1:10" x14ac:dyDescent="0.3">
      <c r="A12" s="1"/>
      <c r="B12" s="34" t="s">
        <v>74</v>
      </c>
      <c r="C12" s="34" t="s">
        <v>75</v>
      </c>
      <c r="D12" s="28">
        <v>42</v>
      </c>
      <c r="E12" s="28" t="s">
        <v>76</v>
      </c>
      <c r="F12" s="1"/>
      <c r="G12" s="1" t="s">
        <v>71</v>
      </c>
      <c r="H12" s="1" t="str">
        <f t="shared" si="0"/>
        <v>Samanta Loja</v>
      </c>
      <c r="I12" s="1"/>
      <c r="J12" s="1"/>
    </row>
    <row r="13" spans="1:10" x14ac:dyDescent="0.3">
      <c r="A13" s="1"/>
      <c r="B13" s="34" t="s">
        <v>77</v>
      </c>
      <c r="C13" s="34" t="s">
        <v>78</v>
      </c>
      <c r="D13" s="28">
        <v>37</v>
      </c>
      <c r="E13" s="28" t="s">
        <v>79</v>
      </c>
      <c r="F13" s="1"/>
      <c r="G13" s="1" t="s">
        <v>74</v>
      </c>
      <c r="H13" s="1" t="str">
        <f t="shared" si="0"/>
        <v>Melina Lima</v>
      </c>
      <c r="I13" s="1" t="s">
        <v>86</v>
      </c>
      <c r="J13" s="1"/>
    </row>
    <row r="14" spans="1:10" x14ac:dyDescent="0.3">
      <c r="A14" s="1"/>
      <c r="B14" s="34" t="s">
        <v>80</v>
      </c>
      <c r="C14" s="34" t="s">
        <v>81</v>
      </c>
      <c r="D14" s="28">
        <v>35</v>
      </c>
      <c r="E14" s="28" t="s">
        <v>82</v>
      </c>
      <c r="F14" s="1"/>
      <c r="G14" s="1" t="s">
        <v>77</v>
      </c>
      <c r="H14" s="1" t="str">
        <f t="shared" si="0"/>
        <v>Melisa Ruales</v>
      </c>
      <c r="I14" s="1"/>
      <c r="J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C7EBF-873C-4C63-8CEF-1FFCEB6AF95D}">
  <sheetPr>
    <tabColor theme="4"/>
  </sheetPr>
  <dimension ref="A4:G14"/>
  <sheetViews>
    <sheetView workbookViewId="0">
      <selection activeCell="D11" sqref="D11"/>
    </sheetView>
  </sheetViews>
  <sheetFormatPr defaultRowHeight="14.4" x14ac:dyDescent="0.3"/>
  <cols>
    <col min="1" max="1" width="10.6640625" bestFit="1" customWidth="1"/>
    <col min="2" max="2" width="14.33203125" bestFit="1" customWidth="1"/>
    <col min="3" max="3" width="25.109375" bestFit="1" customWidth="1"/>
    <col min="4" max="4" width="8.6640625" bestFit="1" customWidth="1"/>
    <col min="5" max="5" width="16" bestFit="1" customWidth="1"/>
    <col min="6" max="6" width="8.5546875" bestFit="1" customWidth="1"/>
    <col min="7" max="7" width="9.21875" bestFit="1" customWidth="1"/>
  </cols>
  <sheetData>
    <row r="4" spans="1:7" x14ac:dyDescent="0.3">
      <c r="C4" s="53" t="s">
        <v>109</v>
      </c>
      <c r="D4" s="53"/>
    </row>
    <row r="5" spans="1:7" x14ac:dyDescent="0.3">
      <c r="C5" s="54" t="s">
        <v>110</v>
      </c>
      <c r="D5" s="55">
        <v>0.08</v>
      </c>
    </row>
    <row r="6" spans="1:7" x14ac:dyDescent="0.3">
      <c r="C6" s="54" t="s">
        <v>111</v>
      </c>
      <c r="D6" s="55">
        <v>0.18</v>
      </c>
    </row>
    <row r="7" spans="1:7" x14ac:dyDescent="0.3">
      <c r="C7" s="54" t="s">
        <v>112</v>
      </c>
      <c r="D7" s="55">
        <v>0.19</v>
      </c>
    </row>
    <row r="14" spans="1:7" x14ac:dyDescent="0.3">
      <c r="A14" s="1"/>
      <c r="B14" s="1"/>
      <c r="C14" s="1"/>
      <c r="D14" s="1"/>
      <c r="E14" s="1"/>
      <c r="F14" s="1"/>
      <c r="G14" s="1"/>
    </row>
  </sheetData>
  <mergeCells count="1">
    <mergeCell ref="C4:D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AC1D3-872A-451F-8E98-A97F696B43B4}">
  <sheetPr>
    <tabColor rgb="FF0070C0"/>
  </sheetPr>
  <dimension ref="A1:H13"/>
  <sheetViews>
    <sheetView workbookViewId="0">
      <selection activeCell="E24" sqref="E24"/>
    </sheetView>
  </sheetViews>
  <sheetFormatPr defaultRowHeight="14.4" x14ac:dyDescent="0.3"/>
  <cols>
    <col min="1" max="1" width="10.6640625" bestFit="1" customWidth="1"/>
    <col min="2" max="2" width="9.109375" bestFit="1" customWidth="1"/>
    <col min="3" max="3" width="10.21875" bestFit="1" customWidth="1"/>
    <col min="4" max="4" width="8.44140625" bestFit="1" customWidth="1"/>
    <col min="5" max="5" width="16.109375" bestFit="1" customWidth="1"/>
    <col min="6" max="7" width="7.5546875" bestFit="1" customWidth="1"/>
  </cols>
  <sheetData>
    <row r="1" spans="1:8" ht="18" x14ac:dyDescent="0.35">
      <c r="A1" s="56" t="s">
        <v>87</v>
      </c>
      <c r="B1" s="56"/>
      <c r="C1" s="56"/>
      <c r="D1" s="56"/>
      <c r="E1" s="56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46" t="s">
        <v>88</v>
      </c>
      <c r="B3" s="46" t="s">
        <v>89</v>
      </c>
      <c r="C3" s="46" t="s">
        <v>90</v>
      </c>
      <c r="D3" s="46" t="s">
        <v>91</v>
      </c>
      <c r="E3" s="46" t="s">
        <v>92</v>
      </c>
      <c r="F3" s="46" t="s">
        <v>18</v>
      </c>
      <c r="G3" s="1"/>
      <c r="H3" s="1"/>
    </row>
    <row r="4" spans="1:8" x14ac:dyDescent="0.3">
      <c r="A4" s="19" t="s">
        <v>93</v>
      </c>
      <c r="B4" s="19">
        <v>10</v>
      </c>
      <c r="C4" s="19">
        <v>10</v>
      </c>
      <c r="D4" s="19">
        <v>100</v>
      </c>
      <c r="E4" s="52">
        <f>D4*'Referencia a otras hojas'!$B$5</f>
        <v>3</v>
      </c>
      <c r="F4" s="19"/>
      <c r="G4" s="1"/>
      <c r="H4" s="1"/>
    </row>
    <row r="5" spans="1:8" x14ac:dyDescent="0.3">
      <c r="A5" s="19" t="s">
        <v>94</v>
      </c>
      <c r="B5" s="19">
        <v>20</v>
      </c>
      <c r="C5" s="19">
        <v>25</v>
      </c>
      <c r="D5" s="19">
        <v>500</v>
      </c>
      <c r="E5" s="52">
        <f>D5*'Referencia a otras hojas'!$B$5</f>
        <v>15</v>
      </c>
      <c r="F5" s="19"/>
      <c r="G5" s="1"/>
      <c r="H5" s="1"/>
    </row>
    <row r="6" spans="1:8" x14ac:dyDescent="0.3">
      <c r="A6" s="19" t="s">
        <v>95</v>
      </c>
      <c r="B6" s="19">
        <v>5</v>
      </c>
      <c r="C6" s="19">
        <v>13</v>
      </c>
      <c r="D6" s="19">
        <v>65</v>
      </c>
      <c r="E6" s="52">
        <f>D6*'Referencia a otras hojas'!$B$5</f>
        <v>1.95</v>
      </c>
      <c r="F6" s="19"/>
      <c r="G6" s="1"/>
      <c r="H6" s="1"/>
    </row>
    <row r="7" spans="1:8" x14ac:dyDescent="0.3">
      <c r="A7" s="19" t="s">
        <v>96</v>
      </c>
      <c r="B7" s="19">
        <v>12</v>
      </c>
      <c r="C7" s="19">
        <v>500</v>
      </c>
      <c r="D7" s="19">
        <v>6</v>
      </c>
      <c r="E7" s="52">
        <f>D7*'Referencia a otras hojas'!$B$5</f>
        <v>0.18</v>
      </c>
      <c r="F7" s="19"/>
      <c r="G7" s="1"/>
      <c r="H7" s="1"/>
    </row>
    <row r="8" spans="1:8" x14ac:dyDescent="0.3">
      <c r="A8" s="19" t="s">
        <v>97</v>
      </c>
      <c r="B8" s="19">
        <v>50</v>
      </c>
      <c r="C8" s="19">
        <v>2.8</v>
      </c>
      <c r="D8" s="19">
        <v>140</v>
      </c>
      <c r="E8" s="52">
        <f>D8*'Referencia a otras hojas'!$B$5</f>
        <v>4.2</v>
      </c>
      <c r="F8" s="19"/>
      <c r="G8" s="1"/>
      <c r="H8" s="1"/>
    </row>
    <row r="9" spans="1:8" x14ac:dyDescent="0.3">
      <c r="A9" s="19" t="s">
        <v>98</v>
      </c>
      <c r="B9" s="19">
        <v>10</v>
      </c>
      <c r="C9" s="19">
        <v>1</v>
      </c>
      <c r="D9" s="19">
        <v>10</v>
      </c>
      <c r="E9" s="52">
        <f>D9*'Referencia a otras hojas'!$B$5</f>
        <v>0.3</v>
      </c>
      <c r="F9" s="19"/>
      <c r="G9" s="1"/>
      <c r="H9" s="1"/>
    </row>
    <row r="10" spans="1:8" x14ac:dyDescent="0.3">
      <c r="A10" s="1"/>
      <c r="B10" s="1"/>
      <c r="C10" s="1"/>
      <c r="D10" s="1"/>
      <c r="E10" s="1"/>
      <c r="F10" s="1"/>
      <c r="G10" s="1"/>
      <c r="H10" s="1"/>
    </row>
    <row r="11" spans="1:8" x14ac:dyDescent="0.3">
      <c r="A11" s="46" t="s">
        <v>99</v>
      </c>
      <c r="B11" s="47">
        <v>10</v>
      </c>
      <c r="C11" s="57">
        <v>25</v>
      </c>
      <c r="D11" s="47">
        <v>13</v>
      </c>
      <c r="E11" s="48">
        <v>500</v>
      </c>
      <c r="F11" s="48">
        <v>2800</v>
      </c>
      <c r="G11" s="48">
        <v>1000</v>
      </c>
      <c r="H11" s="1"/>
    </row>
    <row r="12" spans="1:8" x14ac:dyDescent="0.3">
      <c r="A12" s="46" t="s">
        <v>100</v>
      </c>
      <c r="B12" s="47">
        <f>B11*INTERMEDIO!$D$7</f>
        <v>1.9</v>
      </c>
      <c r="C12" s="47">
        <f>C11*INTERMEDIO!$D$7</f>
        <v>4.75</v>
      </c>
      <c r="D12" s="47">
        <f>D11*INTERMEDIO!$D$7</f>
        <v>2.4700000000000002</v>
      </c>
      <c r="E12" s="47">
        <f>E11*INTERMEDIO!$D$7</f>
        <v>95</v>
      </c>
      <c r="F12" s="47">
        <f>F11*INTERMEDIO!$D$7</f>
        <v>532</v>
      </c>
      <c r="G12" s="47">
        <f>G11*INTERMEDIO!$D$7</f>
        <v>190</v>
      </c>
      <c r="H12" s="1"/>
    </row>
    <row r="13" spans="1:8" x14ac:dyDescent="0.3">
      <c r="A13" s="1"/>
      <c r="B13" s="1"/>
      <c r="C13" s="1"/>
      <c r="D13" s="1"/>
      <c r="E13" s="1"/>
      <c r="F13" s="1"/>
      <c r="G13" s="1"/>
      <c r="H13" s="1"/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EB689-9539-4C87-9E51-FE8FA31F85A2}">
  <sheetPr>
    <tabColor theme="5"/>
  </sheetPr>
  <dimension ref="A1:D11"/>
  <sheetViews>
    <sheetView workbookViewId="0">
      <selection activeCell="D4" sqref="D4"/>
    </sheetView>
  </sheetViews>
  <sheetFormatPr defaultRowHeight="14.4" x14ac:dyDescent="0.3"/>
  <cols>
    <col min="1" max="1" width="10.21875" bestFit="1" customWidth="1"/>
    <col min="2" max="2" width="12.33203125" bestFit="1" customWidth="1"/>
  </cols>
  <sheetData>
    <row r="1" spans="1:4" ht="17.399999999999999" x14ac:dyDescent="0.3">
      <c r="A1" s="50" t="s">
        <v>101</v>
      </c>
      <c r="B1" s="50"/>
      <c r="C1" s="50"/>
      <c r="D1" s="50"/>
    </row>
    <row r="2" spans="1:4" x14ac:dyDescent="0.3">
      <c r="A2" s="1"/>
      <c r="B2" s="1"/>
      <c r="C2" s="1"/>
      <c r="D2" s="1"/>
    </row>
    <row r="3" spans="1:4" x14ac:dyDescent="0.3">
      <c r="A3" s="51" t="s">
        <v>102</v>
      </c>
      <c r="B3" s="51" t="s">
        <v>108</v>
      </c>
      <c r="C3" s="1"/>
      <c r="D3" s="1"/>
    </row>
    <row r="4" spans="1:4" x14ac:dyDescent="0.3">
      <c r="A4" s="1" t="s">
        <v>103</v>
      </c>
      <c r="B4" s="17">
        <v>0.02</v>
      </c>
      <c r="C4" s="1"/>
      <c r="D4" s="1"/>
    </row>
    <row r="5" spans="1:4" x14ac:dyDescent="0.3">
      <c r="A5" s="1" t="s">
        <v>104</v>
      </c>
      <c r="B5" s="17">
        <v>0.03</v>
      </c>
      <c r="C5" s="1"/>
      <c r="D5" s="1"/>
    </row>
    <row r="6" spans="1:4" x14ac:dyDescent="0.3">
      <c r="A6" s="1" t="s">
        <v>105</v>
      </c>
      <c r="B6" s="17">
        <v>0.05</v>
      </c>
      <c r="C6" s="1"/>
      <c r="D6" s="1"/>
    </row>
    <row r="7" spans="1:4" x14ac:dyDescent="0.3">
      <c r="A7" s="1" t="s">
        <v>106</v>
      </c>
      <c r="B7" s="49">
        <v>4.4999999999999998E-2</v>
      </c>
      <c r="C7" s="1"/>
      <c r="D7" s="1"/>
    </row>
    <row r="8" spans="1:4" x14ac:dyDescent="0.3">
      <c r="A8" s="1" t="s">
        <v>107</v>
      </c>
      <c r="B8" s="17">
        <v>0.01</v>
      </c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</row>
    <row r="11" spans="1:4" x14ac:dyDescent="0.3">
      <c r="A11" s="1"/>
      <c r="B11" s="1"/>
      <c r="C11" s="1"/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4467-576D-4DD4-A0B8-0E2967FF3FFB}">
  <sheetPr>
    <tabColor rgb="FF9999FF"/>
  </sheetPr>
  <dimension ref="A1:J18"/>
  <sheetViews>
    <sheetView topLeftCell="B1" workbookViewId="0">
      <selection activeCell="G5" sqref="G5:J9"/>
    </sheetView>
  </sheetViews>
  <sheetFormatPr defaultRowHeight="14.4" x14ac:dyDescent="0.3"/>
  <cols>
    <col min="4" max="4" width="9" bestFit="1" customWidth="1"/>
    <col min="5" max="5" width="14.6640625" bestFit="1" customWidth="1"/>
    <col min="7" max="7" width="12.77734375" customWidth="1"/>
    <col min="9" max="9" width="14.6640625" bestFit="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 thickBot="1" x14ac:dyDescent="0.35">
      <c r="A4" s="1"/>
      <c r="B4" s="1"/>
      <c r="C4" s="1"/>
      <c r="D4" s="68" t="s">
        <v>89</v>
      </c>
      <c r="E4" s="68" t="s">
        <v>3</v>
      </c>
      <c r="F4" s="1"/>
      <c r="G4" s="1"/>
      <c r="H4" s="1"/>
      <c r="I4" s="1"/>
      <c r="J4" s="1"/>
    </row>
    <row r="5" spans="1:10" ht="15" thickTop="1" x14ac:dyDescent="0.3">
      <c r="A5" s="1"/>
      <c r="B5" s="1"/>
      <c r="C5" s="69" t="s">
        <v>88</v>
      </c>
      <c r="D5" s="64">
        <v>90</v>
      </c>
      <c r="E5" s="65">
        <v>1056870</v>
      </c>
      <c r="F5" s="1"/>
      <c r="H5" s="76" t="s">
        <v>89</v>
      </c>
      <c r="I5" s="77" t="s">
        <v>3</v>
      </c>
      <c r="J5" s="77"/>
    </row>
    <row r="6" spans="1:10" x14ac:dyDescent="0.3">
      <c r="A6" s="1"/>
      <c r="B6" s="1"/>
      <c r="C6" s="70" t="s">
        <v>88</v>
      </c>
      <c r="D6" s="60">
        <v>71</v>
      </c>
      <c r="E6" s="61">
        <v>1397706</v>
      </c>
      <c r="F6" s="1"/>
      <c r="G6" s="74" t="s">
        <v>88</v>
      </c>
      <c r="H6" s="75">
        <v>90</v>
      </c>
      <c r="I6" s="78">
        <v>1056870</v>
      </c>
      <c r="J6" s="78"/>
    </row>
    <row r="7" spans="1:10" x14ac:dyDescent="0.3">
      <c r="A7" s="1"/>
      <c r="B7" s="1"/>
      <c r="C7" s="70" t="s">
        <v>88</v>
      </c>
      <c r="D7" s="60">
        <v>61</v>
      </c>
      <c r="E7" s="61">
        <v>835212</v>
      </c>
      <c r="F7" s="1"/>
      <c r="G7" s="74" t="s">
        <v>88</v>
      </c>
      <c r="H7" s="75">
        <v>71</v>
      </c>
      <c r="I7" s="78">
        <v>1397706</v>
      </c>
      <c r="J7" s="78"/>
    </row>
    <row r="8" spans="1:10" ht="15" thickBot="1" x14ac:dyDescent="0.35">
      <c r="A8" s="1"/>
      <c r="B8" s="1"/>
      <c r="C8" s="71" t="s">
        <v>88</v>
      </c>
      <c r="D8" s="62">
        <v>99</v>
      </c>
      <c r="E8" s="63">
        <v>1730124</v>
      </c>
      <c r="F8" s="1"/>
      <c r="G8" s="74" t="s">
        <v>88</v>
      </c>
      <c r="H8" s="75">
        <v>61</v>
      </c>
      <c r="I8" s="78">
        <v>835212</v>
      </c>
      <c r="J8" s="78"/>
    </row>
    <row r="9" spans="1:10" x14ac:dyDescent="0.3">
      <c r="A9" s="1"/>
      <c r="B9" s="1"/>
      <c r="C9" s="1"/>
      <c r="D9" s="1"/>
      <c r="E9" s="1"/>
      <c r="F9" s="1"/>
      <c r="G9" s="74" t="s">
        <v>88</v>
      </c>
      <c r="H9" s="75">
        <v>99</v>
      </c>
      <c r="I9" s="78">
        <v>1730124</v>
      </c>
      <c r="J9" s="78"/>
    </row>
    <row r="10" spans="1:10" x14ac:dyDescent="0.3">
      <c r="A10" s="1"/>
      <c r="B10" s="1"/>
      <c r="C10" s="1"/>
      <c r="D10" s="1"/>
      <c r="E10" s="58"/>
      <c r="F10" s="1"/>
      <c r="G10" s="1"/>
      <c r="H10" s="1"/>
      <c r="I10" s="1"/>
      <c r="J10" s="1"/>
    </row>
    <row r="11" spans="1:10" x14ac:dyDescent="0.3">
      <c r="A11" s="1"/>
      <c r="B11" s="1"/>
      <c r="C11" s="66"/>
      <c r="D11" s="72" t="s">
        <v>89</v>
      </c>
      <c r="E11" s="72" t="s">
        <v>3</v>
      </c>
      <c r="F11" s="1"/>
      <c r="G11" s="1"/>
      <c r="H11" s="1"/>
      <c r="I11" s="1"/>
      <c r="J11" s="1"/>
    </row>
    <row r="12" spans="1:10" x14ac:dyDescent="0.3">
      <c r="A12" s="1"/>
      <c r="B12" s="1"/>
      <c r="C12" s="73" t="s">
        <v>88</v>
      </c>
      <c r="D12" s="66">
        <v>90</v>
      </c>
      <c r="E12" s="67">
        <v>1056870</v>
      </c>
      <c r="F12" s="1"/>
      <c r="G12" s="1"/>
      <c r="H12" s="1"/>
      <c r="I12" s="1"/>
      <c r="J12" s="1"/>
    </row>
    <row r="13" spans="1:10" x14ac:dyDescent="0.3">
      <c r="A13" s="1"/>
      <c r="B13" s="1"/>
      <c r="C13" s="73" t="s">
        <v>88</v>
      </c>
      <c r="D13" s="66">
        <v>71</v>
      </c>
      <c r="E13" s="67">
        <v>1397706</v>
      </c>
      <c r="F13" s="1"/>
      <c r="G13" s="1"/>
      <c r="H13" s="1"/>
      <c r="I13" s="1"/>
      <c r="J13" s="1"/>
    </row>
    <row r="14" spans="1:10" x14ac:dyDescent="0.3">
      <c r="A14" s="1"/>
      <c r="B14" s="1"/>
      <c r="C14" s="73" t="s">
        <v>88</v>
      </c>
      <c r="D14" s="66">
        <v>61</v>
      </c>
      <c r="E14" s="67">
        <v>835212</v>
      </c>
      <c r="F14" s="1"/>
      <c r="G14" s="1"/>
      <c r="H14" s="1"/>
      <c r="I14" s="1"/>
      <c r="J14" s="1"/>
    </row>
    <row r="15" spans="1:10" x14ac:dyDescent="0.3">
      <c r="A15" s="1"/>
      <c r="B15" s="1"/>
      <c r="C15" s="73" t="s">
        <v>88</v>
      </c>
      <c r="D15" s="66">
        <v>99</v>
      </c>
      <c r="E15" s="67">
        <v>1730124</v>
      </c>
      <c r="F15" s="1"/>
      <c r="G15" s="1"/>
      <c r="H15" s="1"/>
      <c r="I15" s="1"/>
      <c r="J15" s="45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</sheetData>
  <mergeCells count="5">
    <mergeCell ref="I5:J5"/>
    <mergeCell ref="I6:J6"/>
    <mergeCell ref="I7:J7"/>
    <mergeCell ref="I8:J8"/>
    <mergeCell ref="I9:J9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7896-29CF-4801-A188-37BBE6538DA0}">
  <dimension ref="A3:I21"/>
  <sheetViews>
    <sheetView tabSelected="1" workbookViewId="0">
      <selection activeCell="P18" sqref="P18"/>
    </sheetView>
  </sheetViews>
  <sheetFormatPr defaultRowHeight="14.4" x14ac:dyDescent="0.3"/>
  <cols>
    <col min="2" max="2" width="11.6640625" bestFit="1" customWidth="1"/>
    <col min="8" max="8" width="9" bestFit="1" customWidth="1"/>
  </cols>
  <sheetData>
    <row r="3" spans="2:9" x14ac:dyDescent="0.3">
      <c r="B3" s="1"/>
      <c r="C3" s="1"/>
      <c r="D3" s="1"/>
      <c r="E3" s="1"/>
      <c r="F3" s="1"/>
      <c r="G3" s="1"/>
      <c r="H3" s="1"/>
      <c r="I3" s="1"/>
    </row>
    <row r="4" spans="2:9" x14ac:dyDescent="0.3">
      <c r="B4" s="1"/>
      <c r="C4" s="1"/>
      <c r="D4" s="1"/>
      <c r="E4" s="1"/>
      <c r="F4" s="1"/>
      <c r="G4" s="1"/>
      <c r="H4" s="1"/>
      <c r="I4" s="1"/>
    </row>
    <row r="5" spans="2:9" x14ac:dyDescent="0.3">
      <c r="B5" s="1"/>
      <c r="C5" s="76" t="s">
        <v>89</v>
      </c>
      <c r="D5" s="80" t="s">
        <v>3</v>
      </c>
      <c r="E5" s="81"/>
      <c r="F5" s="1"/>
      <c r="G5" s="1"/>
      <c r="H5" s="59" t="s">
        <v>89</v>
      </c>
      <c r="I5" s="1"/>
    </row>
    <row r="6" spans="2:9" x14ac:dyDescent="0.3">
      <c r="B6" s="74" t="s">
        <v>88</v>
      </c>
      <c r="C6" s="75">
        <v>90</v>
      </c>
      <c r="D6" s="83">
        <v>1056870</v>
      </c>
      <c r="E6" s="84"/>
      <c r="F6" s="1"/>
      <c r="G6" s="79" t="s">
        <v>88</v>
      </c>
      <c r="H6" s="19">
        <v>59</v>
      </c>
      <c r="I6" s="1"/>
    </row>
    <row r="7" spans="2:9" x14ac:dyDescent="0.3">
      <c r="B7" s="74" t="s">
        <v>88</v>
      </c>
      <c r="C7" s="75">
        <v>71</v>
      </c>
      <c r="D7" s="83">
        <v>1397706</v>
      </c>
      <c r="E7" s="84"/>
      <c r="F7" s="1"/>
      <c r="G7" s="79" t="s">
        <v>88</v>
      </c>
      <c r="H7" s="19">
        <v>54</v>
      </c>
      <c r="I7" s="1"/>
    </row>
    <row r="8" spans="2:9" x14ac:dyDescent="0.3">
      <c r="B8" s="74" t="s">
        <v>88</v>
      </c>
      <c r="C8" s="75">
        <v>61</v>
      </c>
      <c r="D8" s="83">
        <v>835212</v>
      </c>
      <c r="E8" s="84"/>
      <c r="F8" s="1"/>
      <c r="G8" s="79" t="s">
        <v>88</v>
      </c>
      <c r="H8" s="19">
        <v>75</v>
      </c>
      <c r="I8" s="1"/>
    </row>
    <row r="9" spans="2:9" x14ac:dyDescent="0.3">
      <c r="B9" s="74" t="s">
        <v>88</v>
      </c>
      <c r="C9" s="75">
        <v>99</v>
      </c>
      <c r="D9" s="83">
        <v>1730124</v>
      </c>
      <c r="E9" s="84"/>
      <c r="F9" s="1"/>
      <c r="G9" s="79" t="s">
        <v>88</v>
      </c>
      <c r="H9" s="19">
        <v>57</v>
      </c>
      <c r="I9" s="1"/>
    </row>
    <row r="10" spans="2:9" x14ac:dyDescent="0.3">
      <c r="B10" s="1"/>
      <c r="C10" s="1"/>
      <c r="D10" s="1"/>
      <c r="E10" s="1"/>
      <c r="F10" s="1"/>
      <c r="G10" s="79" t="s">
        <v>88</v>
      </c>
      <c r="H10" s="19">
        <v>63</v>
      </c>
      <c r="I10" s="1"/>
    </row>
    <row r="11" spans="2:9" x14ac:dyDescent="0.3">
      <c r="B11" s="1"/>
      <c r="C11" s="1"/>
      <c r="D11" s="1"/>
      <c r="E11" s="1"/>
      <c r="F11" s="1"/>
      <c r="G11" s="79" t="s">
        <v>88</v>
      </c>
      <c r="H11" s="19">
        <v>86</v>
      </c>
      <c r="I11" s="1"/>
    </row>
    <row r="12" spans="2:9" x14ac:dyDescent="0.3">
      <c r="B12" s="1"/>
      <c r="C12" s="1"/>
      <c r="D12" s="1"/>
      <c r="E12" s="1"/>
      <c r="F12" s="1"/>
      <c r="G12" s="79" t="s">
        <v>88</v>
      </c>
      <c r="H12" s="19">
        <v>100</v>
      </c>
      <c r="I12" s="1"/>
    </row>
    <row r="13" spans="2:9" x14ac:dyDescent="0.3">
      <c r="B13" s="1"/>
      <c r="C13" s="1"/>
      <c r="D13" s="1"/>
      <c r="E13" s="1"/>
      <c r="F13" s="1"/>
      <c r="G13" s="79" t="s">
        <v>88</v>
      </c>
      <c r="H13" s="19">
        <v>57</v>
      </c>
      <c r="I13" s="1"/>
    </row>
    <row r="14" spans="2:9" x14ac:dyDescent="0.3">
      <c r="B14" s="1"/>
      <c r="C14" s="1"/>
      <c r="D14" s="1"/>
      <c r="E14" s="1"/>
      <c r="F14" s="1"/>
      <c r="G14" s="79" t="s">
        <v>88</v>
      </c>
      <c r="H14" s="19">
        <v>54</v>
      </c>
      <c r="I14" s="1"/>
    </row>
    <row r="15" spans="2:9" x14ac:dyDescent="0.3">
      <c r="B15" s="1"/>
      <c r="C15" s="82"/>
      <c r="D15" s="82"/>
      <c r="E15" s="1"/>
      <c r="F15" s="1"/>
      <c r="G15" s="79" t="s">
        <v>88</v>
      </c>
      <c r="H15" s="19">
        <v>88</v>
      </c>
      <c r="I15" s="1"/>
    </row>
    <row r="16" spans="2:9" x14ac:dyDescent="0.3">
      <c r="B16" s="1"/>
      <c r="C16" s="82"/>
      <c r="D16" s="82"/>
      <c r="E16" s="1"/>
      <c r="F16" s="1"/>
      <c r="G16" s="1"/>
      <c r="H16" s="1"/>
      <c r="I16" s="1"/>
    </row>
    <row r="17" spans="1:9" x14ac:dyDescent="0.3">
      <c r="B17" s="1"/>
      <c r="C17" s="82"/>
      <c r="D17" s="82"/>
      <c r="E17" s="1"/>
      <c r="F17" s="1"/>
      <c r="G17" s="1"/>
      <c r="H17" s="1"/>
      <c r="I17" s="1"/>
    </row>
    <row r="18" spans="1:9" x14ac:dyDescent="0.3">
      <c r="B18" s="1"/>
      <c r="C18" s="82"/>
      <c r="D18" s="82"/>
      <c r="E18" s="1"/>
      <c r="F18" s="1"/>
      <c r="G18" s="1"/>
      <c r="H18" s="1"/>
      <c r="I18" s="1"/>
    </row>
    <row r="21" spans="1:9" x14ac:dyDescent="0.3">
      <c r="A21" t="s">
        <v>86</v>
      </c>
    </row>
  </sheetData>
  <mergeCells count="9">
    <mergeCell ref="C16:D16"/>
    <mergeCell ref="C17:D17"/>
    <mergeCell ref="C18:D18"/>
    <mergeCell ref="C15:D15"/>
    <mergeCell ref="D5:E5"/>
    <mergeCell ref="D6:E6"/>
    <mergeCell ref="D7:E7"/>
    <mergeCell ref="D8:E8"/>
    <mergeCell ref="D9:E9"/>
  </mergeCells>
  <conditionalFormatting sqref="D6:E9">
    <cfRule type="cellIs" dxfId="1" priority="3" stopIfTrue="1" operator="greaterThan">
      <formula>" $ 1,282,668.00 "</formula>
    </cfRule>
    <cfRule type="cellIs" dxfId="0" priority="2" operator="greaterThan">
      <formula>1000000</formula>
    </cfRule>
  </conditionalFormatting>
  <conditionalFormatting sqref="H6:H15">
    <cfRule type="dataBar" priority="1">
      <dataBar>
        <cfvo type="min"/>
        <cfvo type="max"/>
        <color rgb="FF9999FF"/>
      </dataBar>
      <extLst>
        <ext xmlns:x14="http://schemas.microsoft.com/office/spreadsheetml/2009/9/main" uri="{B025F937-C7B1-47D3-B67F-A62EFF666E3E}">
          <x14:id>{A63DC73E-FAB9-444D-A8FF-D9D5057D22A0}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3DC73E-FAB9-444D-A8FF-D9D5057D22A0}">
            <x14:dataBar minLength="0" maxLength="100" border="1" gradient="0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H6:H15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Presupuesto</vt:lpstr>
      <vt:lpstr>Clientes</vt:lpstr>
      <vt:lpstr>Comparar Valores</vt:lpstr>
      <vt:lpstr>Buscar-lOOKUP</vt:lpstr>
      <vt:lpstr>BuscaRV-VLOOKUP</vt:lpstr>
      <vt:lpstr>BuscarH-Hlookup</vt:lpstr>
      <vt:lpstr>BuscarX-Xlookup</vt:lpstr>
      <vt:lpstr>INTERMEDIO</vt:lpstr>
      <vt:lpstr>Datos</vt:lpstr>
      <vt:lpstr>Referencia a otras hojas</vt:lpstr>
      <vt:lpstr>Formatos y Estilos  de celdas</vt:lpstr>
      <vt:lpstr>Formato Condicional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Villar</dc:creator>
  <cp:lastModifiedBy>Edwin Villar</cp:lastModifiedBy>
  <dcterms:created xsi:type="dcterms:W3CDTF">2026-06-30T15:01:51Z</dcterms:created>
  <dcterms:modified xsi:type="dcterms:W3CDTF">2026-07-01T16:42:28Z</dcterms:modified>
</cp:coreProperties>
</file>