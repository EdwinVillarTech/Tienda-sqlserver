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29A5CB5E-ECC9-4C7C-81AA-51ACAECE7430}" xr6:coauthVersionLast="47" xr6:coauthVersionMax="47" xr10:uidLastSave="{3F43492A-8307-475B-B4B4-98263B8D7F82}"/>
  <bookViews>
    <workbookView xWindow="0" yWindow="12" windowWidth="11748" windowHeight="11724" firstSheet="2" activeTab="3" xr2:uid="{6A60A910-AFD6-4FAF-98E3-80B739492C98}"/>
  </bookViews>
  <sheets>
    <sheet name="Basico" sheetId="1" r:id="rId1"/>
    <sheet name="Basico-Intermedio" sheetId="2" r:id="rId2"/>
    <sheet name="Intermedio" sheetId="3" r:id="rId3"/>
    <sheet name="Avanza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 a="1"/>
  <c r="B19" i="4" s="1"/>
  <c r="B26" i="3"/>
  <c r="B25" i="3"/>
  <c r="B24" i="3"/>
  <c r="B23" i="3"/>
  <c r="B22" i="3"/>
  <c r="B21" i="3"/>
  <c r="B7" i="2"/>
  <c r="B6" i="2"/>
  <c r="B5" i="2"/>
  <c r="B4" i="2"/>
  <c r="B20" i="1"/>
  <c r="B19" i="1"/>
  <c r="B18" i="1"/>
  <c r="B17" i="1"/>
</calcChain>
</file>

<file path=xl/sharedStrings.xml><?xml version="1.0" encoding="utf-8"?>
<sst xmlns="http://schemas.openxmlformats.org/spreadsheetml/2006/main" count="135" uniqueCount="58">
  <si>
    <t xml:space="preserve">Datos </t>
  </si>
  <si>
    <t>ID</t>
  </si>
  <si>
    <t>Empleado</t>
  </si>
  <si>
    <t>Departamento</t>
  </si>
  <si>
    <t>Salario</t>
  </si>
  <si>
    <t>Ciudad</t>
  </si>
  <si>
    <t>Carlos</t>
  </si>
  <si>
    <t>Ventas</t>
  </si>
  <si>
    <t>Santo Domingo</t>
  </si>
  <si>
    <t>Maria</t>
  </si>
  <si>
    <t>RRHH</t>
  </si>
  <si>
    <t>Santiago</t>
  </si>
  <si>
    <t>Pedro</t>
  </si>
  <si>
    <t>Finanzas</t>
  </si>
  <si>
    <t>La Romana</t>
  </si>
  <si>
    <t>Ana</t>
  </si>
  <si>
    <t>Puerto Plata</t>
  </si>
  <si>
    <t>Luis</t>
  </si>
  <si>
    <t>Carmen</t>
  </si>
  <si>
    <t>Roberto</t>
  </si>
  <si>
    <t>Sofia</t>
  </si>
  <si>
    <t>Juan</t>
  </si>
  <si>
    <t>Elena</t>
  </si>
  <si>
    <t>ID a buscar:</t>
  </si>
  <si>
    <t>Empleado:</t>
  </si>
  <si>
    <t>Departamento:</t>
  </si>
  <si>
    <t>Salario:</t>
  </si>
  <si>
    <t>Ciudad:</t>
  </si>
  <si>
    <t>Vendedor</t>
  </si>
  <si>
    <t>Region</t>
  </si>
  <si>
    <t>Producto</t>
  </si>
  <si>
    <t>Cantidad</t>
  </si>
  <si>
    <t>Total</t>
  </si>
  <si>
    <t>Norte</t>
  </si>
  <si>
    <t>Laptop</t>
  </si>
  <si>
    <t>Sur</t>
  </si>
  <si>
    <t>Mouse</t>
  </si>
  <si>
    <t>Este</t>
  </si>
  <si>
    <t>Teclado</t>
  </si>
  <si>
    <t>Oeste</t>
  </si>
  <si>
    <t>Monitor</t>
  </si>
  <si>
    <t>Tablet</t>
  </si>
  <si>
    <t>Vendedor a buscar:</t>
  </si>
  <si>
    <t>Mayor Total:</t>
  </si>
  <si>
    <t>Producto encontrado:</t>
  </si>
  <si>
    <t>Region encontrada:</t>
  </si>
  <si>
    <t>Cantidad encontrada:</t>
  </si>
  <si>
    <t>Total encontrado:</t>
  </si>
  <si>
    <t>Vendedor mayor venta:</t>
  </si>
  <si>
    <t>Sistema de Búsqueda Avanzada — INDEX + MATCH 2026</t>
  </si>
  <si>
    <t>INDEX + MATCH Avanzado 2026</t>
  </si>
  <si>
    <t>BÚSQUEDAS AVANZADAS</t>
  </si>
  <si>
    <t>Vendedor:</t>
  </si>
  <si>
    <t>Region:</t>
  </si>
  <si>
    <t>Total encontrado (2 condiciones):</t>
  </si>
  <si>
    <t>Producto (búsqueda inversa):</t>
  </si>
  <si>
    <t>Búsqueda segura (con error):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</si>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</sst>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7CEB9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2" borderId="0" xfId="0" applyFont="1" applyFill="1"/>
    <xf numFmtId="0" fontId="3" fillId="2" borderId="1" xfId="0" applyFont="1" applyFill="1" applyBorder="1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3" borderId="0" xfId="0" applyFont="1" applyFill="1" applyAlignment="1">
      <alignment horizontal="left"/>
    </xf>
    <xf numFmtId="0" fontId="2" fillId="3" borderId="1" xfId="0" applyFont="1" applyFill="1" applyBorder="1"/>
    <xf numFmtId="0" fontId="5" fillId="4" borderId="0" xfId="0" applyFont="1" applyFill="1" applyAlignment="1">
      <alignment horizontal="left"/>
    </xf>
    <xf numFmtId="0" fontId="2" fillId="4" borderId="1" xfId="0" applyFont="1" applyFill="1" applyBorder="1"/>
    <xf numFmtId="0" fontId="3" fillId="0" borderId="0" xfId="0" applyFont="1" applyFill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B423-5AAB-48D9-9681-45EE38B28788}">
  <dimension ref="A1:F20"/>
  <sheetViews>
    <sheetView workbookViewId="0">
      <selection activeCell="C26" sqref="C26"/>
    </sheetView>
  </sheetViews>
  <sheetFormatPr defaultRowHeight="14.4" x14ac:dyDescent="0.3"/>
  <cols>
    <col min="1" max="1" width="14" bestFit="1" customWidth="1"/>
    <col min="2" max="2" width="9.6640625" bestFit="1" customWidth="1"/>
    <col min="3" max="3" width="13.44140625" bestFit="1" customWidth="1"/>
    <col min="4" max="4" width="7.109375" bestFit="1" customWidth="1"/>
    <col min="5" max="5" width="13.5546875" bestFit="1" customWidth="1"/>
  </cols>
  <sheetData>
    <row r="1" spans="1:6" ht="21" x14ac:dyDescent="0.4">
      <c r="A1" s="2" t="s">
        <v>0</v>
      </c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"/>
    </row>
    <row r="4" spans="1:6" x14ac:dyDescent="0.3">
      <c r="A4" s="4">
        <v>101</v>
      </c>
      <c r="B4" s="4" t="s">
        <v>6</v>
      </c>
      <c r="C4" s="4" t="s">
        <v>7</v>
      </c>
      <c r="D4" s="4">
        <v>35000</v>
      </c>
      <c r="E4" s="4" t="s">
        <v>8</v>
      </c>
      <c r="F4" s="1"/>
    </row>
    <row r="5" spans="1:6" x14ac:dyDescent="0.3">
      <c r="A5" s="4">
        <v>102</v>
      </c>
      <c r="B5" s="4" t="s">
        <v>9</v>
      </c>
      <c r="C5" s="4" t="s">
        <v>10</v>
      </c>
      <c r="D5" s="4">
        <v>28000</v>
      </c>
      <c r="E5" s="4" t="s">
        <v>11</v>
      </c>
      <c r="F5" s="1"/>
    </row>
    <row r="6" spans="1:6" x14ac:dyDescent="0.3">
      <c r="A6" s="4">
        <v>103</v>
      </c>
      <c r="B6" s="4" t="s">
        <v>12</v>
      </c>
      <c r="C6" s="4" t="s">
        <v>13</v>
      </c>
      <c r="D6" s="4">
        <v>42000</v>
      </c>
      <c r="E6" s="4" t="s">
        <v>14</v>
      </c>
      <c r="F6" s="1"/>
    </row>
    <row r="7" spans="1:6" x14ac:dyDescent="0.3">
      <c r="A7" s="4">
        <v>104</v>
      </c>
      <c r="B7" s="4" t="s">
        <v>15</v>
      </c>
      <c r="C7" s="4" t="s">
        <v>7</v>
      </c>
      <c r="D7" s="4">
        <v>33000</v>
      </c>
      <c r="E7" s="4" t="s">
        <v>16</v>
      </c>
      <c r="F7" s="1"/>
    </row>
    <row r="8" spans="1:6" x14ac:dyDescent="0.3">
      <c r="A8" s="4">
        <v>105</v>
      </c>
      <c r="B8" s="4" t="s">
        <v>17</v>
      </c>
      <c r="C8" s="4" t="s">
        <v>10</v>
      </c>
      <c r="D8" s="4">
        <v>31000</v>
      </c>
      <c r="E8" s="4" t="s">
        <v>8</v>
      </c>
      <c r="F8" s="1"/>
    </row>
    <row r="9" spans="1:6" x14ac:dyDescent="0.3">
      <c r="A9" s="4">
        <v>106</v>
      </c>
      <c r="B9" s="4" t="s">
        <v>18</v>
      </c>
      <c r="C9" s="4" t="s">
        <v>13</v>
      </c>
      <c r="D9" s="4">
        <v>38000</v>
      </c>
      <c r="E9" s="4" t="s">
        <v>11</v>
      </c>
      <c r="F9" s="1"/>
    </row>
    <row r="10" spans="1:6" x14ac:dyDescent="0.3">
      <c r="A10" s="4">
        <v>107</v>
      </c>
      <c r="B10" s="4" t="s">
        <v>19</v>
      </c>
      <c r="C10" s="4" t="s">
        <v>7</v>
      </c>
      <c r="D10" s="4">
        <v>29000</v>
      </c>
      <c r="E10" s="4" t="s">
        <v>14</v>
      </c>
      <c r="F10" s="1"/>
    </row>
    <row r="11" spans="1:6" x14ac:dyDescent="0.3">
      <c r="A11" s="4">
        <v>108</v>
      </c>
      <c r="B11" s="4" t="s">
        <v>20</v>
      </c>
      <c r="C11" s="4" t="s">
        <v>10</v>
      </c>
      <c r="D11" s="4">
        <v>45000</v>
      </c>
      <c r="E11" s="4" t="s">
        <v>8</v>
      </c>
      <c r="F11" s="1"/>
    </row>
    <row r="12" spans="1:6" x14ac:dyDescent="0.3">
      <c r="A12" s="4">
        <v>109</v>
      </c>
      <c r="B12" s="4" t="s">
        <v>21</v>
      </c>
      <c r="C12" s="4" t="s">
        <v>13</v>
      </c>
      <c r="D12" s="4">
        <v>36000</v>
      </c>
      <c r="E12" s="4" t="s">
        <v>16</v>
      </c>
      <c r="F12" s="1"/>
    </row>
    <row r="13" spans="1:6" x14ac:dyDescent="0.3">
      <c r="A13" s="4">
        <v>110</v>
      </c>
      <c r="B13" s="4" t="s">
        <v>22</v>
      </c>
      <c r="C13" s="4" t="s">
        <v>7</v>
      </c>
      <c r="D13" s="4">
        <v>41000</v>
      </c>
      <c r="E13" s="4" t="s">
        <v>11</v>
      </c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6" t="s">
        <v>23</v>
      </c>
      <c r="B16" s="4">
        <v>110</v>
      </c>
      <c r="C16" s="1"/>
      <c r="D16" s="1"/>
      <c r="E16" s="1"/>
      <c r="F16" s="1"/>
    </row>
    <row r="17" spans="1:6" x14ac:dyDescent="0.3">
      <c r="A17" s="6" t="s">
        <v>24</v>
      </c>
      <c r="B17" s="4" t="str">
        <f>INDEX(B4:B13,MATCH(B16,A4:A13,0))</f>
        <v>Elena</v>
      </c>
      <c r="C17" s="1"/>
      <c r="D17" s="1"/>
      <c r="E17" s="1"/>
      <c r="F17" s="1"/>
    </row>
    <row r="18" spans="1:6" x14ac:dyDescent="0.3">
      <c r="A18" s="6" t="s">
        <v>25</v>
      </c>
      <c r="B18" s="4" t="str">
        <f>INDEX(C4:C13,MATCH(B16,A4:A13,0))</f>
        <v>Ventas</v>
      </c>
      <c r="C18" s="1"/>
      <c r="D18" s="1"/>
      <c r="E18" s="1"/>
      <c r="F18" s="1"/>
    </row>
    <row r="19" spans="1:6" x14ac:dyDescent="0.3">
      <c r="A19" s="6" t="s">
        <v>26</v>
      </c>
      <c r="B19" s="4">
        <f>INDEX(D4:D13,MATCH(B16,A4:A13,0))</f>
        <v>41000</v>
      </c>
      <c r="C19" s="1"/>
      <c r="D19" s="1"/>
      <c r="E19" s="1"/>
      <c r="F19" s="1"/>
    </row>
    <row r="20" spans="1:6" x14ac:dyDescent="0.3">
      <c r="A20" s="6" t="s">
        <v>27</v>
      </c>
      <c r="B20" s="4" t="str">
        <f>INDEX(E4:E13,MATCH(B16,A4:A13,0))</f>
        <v>Santiago</v>
      </c>
      <c r="C20" s="1"/>
      <c r="D20" s="1"/>
      <c r="E20" s="1"/>
      <c r="F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828C-9603-4E5F-BC15-E527C45831B6}">
  <dimension ref="A1:G14"/>
  <sheetViews>
    <sheetView workbookViewId="0">
      <selection activeCell="D7" sqref="D7"/>
    </sheetView>
  </sheetViews>
  <sheetFormatPr defaultRowHeight="14.4" x14ac:dyDescent="0.3"/>
  <cols>
    <col min="1" max="2" width="13.5546875" bestFit="1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6" t="s">
        <v>23</v>
      </c>
      <c r="B3" s="4">
        <v>105</v>
      </c>
      <c r="C3" s="1"/>
      <c r="D3" s="1"/>
      <c r="E3" s="1"/>
      <c r="F3" s="1"/>
      <c r="G3" s="1"/>
    </row>
    <row r="4" spans="1:7" x14ac:dyDescent="0.3">
      <c r="A4" s="6" t="s">
        <v>24</v>
      </c>
      <c r="B4" s="4" t="str">
        <f>INDEX(Basico!B4:B13,MATCH(B3,Basico!A4:A13,0))</f>
        <v>Luis</v>
      </c>
      <c r="C4" s="1"/>
      <c r="D4" s="1"/>
      <c r="E4" s="1"/>
      <c r="F4" s="1"/>
      <c r="G4" s="1"/>
    </row>
    <row r="5" spans="1:7" x14ac:dyDescent="0.3">
      <c r="A5" s="6" t="s">
        <v>25</v>
      </c>
      <c r="B5" s="4" t="str">
        <f>INDEX(Basico!C4:C13,MATCH(B3,Basico!A4:A13,0))</f>
        <v>RRHH</v>
      </c>
      <c r="C5" s="1"/>
      <c r="D5" s="1"/>
      <c r="E5" s="1"/>
      <c r="F5" s="1"/>
      <c r="G5" s="1"/>
    </row>
    <row r="6" spans="1:7" x14ac:dyDescent="0.3">
      <c r="A6" s="6" t="s">
        <v>26</v>
      </c>
      <c r="B6" s="4">
        <f>INDEX(Basico!D4:D13,MATCH(B3,Basico!A4:A13,0))</f>
        <v>31000</v>
      </c>
      <c r="C6" s="1"/>
      <c r="D6" s="1"/>
      <c r="E6" s="1"/>
      <c r="F6" s="1"/>
      <c r="G6" s="1"/>
    </row>
    <row r="7" spans="1:7" x14ac:dyDescent="0.3">
      <c r="A7" s="6" t="s">
        <v>27</v>
      </c>
      <c r="B7" s="4" t="str">
        <f>INDEX(Basico!E4:E13,MATCH(B3,Basico!A4:A13,0))</f>
        <v>Santo Domingo</v>
      </c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1829-0400-4719-AE5D-0021641EBF77}">
  <dimension ref="A1:J29"/>
  <sheetViews>
    <sheetView topLeftCell="A7" workbookViewId="0">
      <selection activeCell="F14" sqref="F14"/>
    </sheetView>
  </sheetViews>
  <sheetFormatPr defaultRowHeight="14.4" x14ac:dyDescent="0.3"/>
  <cols>
    <col min="1" max="1" width="21.6640625" bestFit="1" customWidth="1"/>
    <col min="2" max="2" width="8.6640625" bestFit="1" customWidth="1"/>
    <col min="3" max="3" width="8.44140625" bestFit="1" customWidth="1"/>
    <col min="4" max="4" width="8.21875" bestFit="1" customWidth="1"/>
    <col min="5" max="5" width="5.2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7" t="s">
        <v>49</v>
      </c>
      <c r="B4" s="7"/>
      <c r="C4" s="7"/>
      <c r="D4" s="7"/>
      <c r="E4" s="7"/>
      <c r="F4" s="7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8" t="s">
        <v>28</v>
      </c>
      <c r="B8" s="8" t="s">
        <v>29</v>
      </c>
      <c r="C8" s="8" t="s">
        <v>30</v>
      </c>
      <c r="D8" s="8" t="s">
        <v>31</v>
      </c>
      <c r="E8" s="8" t="s">
        <v>32</v>
      </c>
      <c r="F8" s="1"/>
      <c r="G8" s="1"/>
      <c r="H8" s="1"/>
      <c r="I8" s="1"/>
      <c r="J8" s="1"/>
    </row>
    <row r="9" spans="1:10" x14ac:dyDescent="0.3">
      <c r="A9" s="4" t="s">
        <v>6</v>
      </c>
      <c r="B9" s="4" t="s">
        <v>33</v>
      </c>
      <c r="C9" s="4" t="s">
        <v>34</v>
      </c>
      <c r="D9" s="4">
        <v>5</v>
      </c>
      <c r="E9" s="4">
        <v>4000</v>
      </c>
      <c r="F9" s="1"/>
      <c r="G9" s="1"/>
      <c r="H9" s="1"/>
      <c r="I9" s="1"/>
      <c r="J9" s="1"/>
    </row>
    <row r="10" spans="1:10" x14ac:dyDescent="0.3">
      <c r="A10" s="4" t="s">
        <v>9</v>
      </c>
      <c r="B10" s="4" t="s">
        <v>35</v>
      </c>
      <c r="C10" s="4" t="s">
        <v>36</v>
      </c>
      <c r="D10" s="4">
        <v>30</v>
      </c>
      <c r="E10" s="4">
        <v>450</v>
      </c>
      <c r="F10" s="1"/>
      <c r="G10" s="1"/>
      <c r="H10" s="1"/>
      <c r="I10" s="1"/>
      <c r="J10" s="1"/>
    </row>
    <row r="11" spans="1:10" x14ac:dyDescent="0.3">
      <c r="A11" s="4" t="s">
        <v>12</v>
      </c>
      <c r="B11" s="4" t="s">
        <v>37</v>
      </c>
      <c r="C11" s="4" t="s">
        <v>38</v>
      </c>
      <c r="D11" s="4">
        <v>12</v>
      </c>
      <c r="E11" s="4">
        <v>360</v>
      </c>
      <c r="F11" s="1"/>
      <c r="G11" s="1"/>
      <c r="H11" s="1"/>
      <c r="I11" s="1"/>
      <c r="J11" s="1"/>
    </row>
    <row r="12" spans="1:10" x14ac:dyDescent="0.3">
      <c r="A12" s="4" t="s">
        <v>15</v>
      </c>
      <c r="B12" s="4" t="s">
        <v>39</v>
      </c>
      <c r="C12" s="4" t="s">
        <v>40</v>
      </c>
      <c r="D12" s="4">
        <v>8</v>
      </c>
      <c r="E12" s="4">
        <v>1600</v>
      </c>
      <c r="F12" s="1"/>
      <c r="G12" s="1"/>
      <c r="H12" s="1"/>
      <c r="I12" s="1"/>
      <c r="J12" s="1"/>
    </row>
    <row r="13" spans="1:10" x14ac:dyDescent="0.3">
      <c r="A13" s="4" t="s">
        <v>6</v>
      </c>
      <c r="B13" s="4" t="s">
        <v>33</v>
      </c>
      <c r="C13" s="4" t="s">
        <v>41</v>
      </c>
      <c r="D13" s="4">
        <v>10</v>
      </c>
      <c r="E13" s="4">
        <v>3500</v>
      </c>
      <c r="F13" s="1"/>
      <c r="G13" s="1"/>
      <c r="H13" s="1"/>
      <c r="I13" s="1"/>
      <c r="J13" s="1"/>
    </row>
    <row r="14" spans="1:10" x14ac:dyDescent="0.3">
      <c r="A14" s="4" t="s">
        <v>9</v>
      </c>
      <c r="B14" s="4" t="s">
        <v>35</v>
      </c>
      <c r="C14" s="4" t="s">
        <v>34</v>
      </c>
      <c r="D14" s="4">
        <v>6</v>
      </c>
      <c r="E14" s="4">
        <v>4800</v>
      </c>
      <c r="F14" s="1"/>
      <c r="G14" s="1"/>
      <c r="H14" s="1"/>
      <c r="I14" s="1"/>
      <c r="J14" s="1"/>
    </row>
    <row r="15" spans="1:10" x14ac:dyDescent="0.3">
      <c r="A15" s="4" t="s">
        <v>12</v>
      </c>
      <c r="B15" s="4" t="s">
        <v>37</v>
      </c>
      <c r="C15" s="4" t="s">
        <v>40</v>
      </c>
      <c r="D15" s="4">
        <v>7</v>
      </c>
      <c r="E15" s="4">
        <v>5740</v>
      </c>
      <c r="F15" s="1"/>
      <c r="G15" s="1"/>
      <c r="H15" s="1"/>
      <c r="I15" s="1"/>
      <c r="J15" s="1"/>
    </row>
    <row r="16" spans="1:10" x14ac:dyDescent="0.3">
      <c r="A16" s="4" t="s">
        <v>15</v>
      </c>
      <c r="B16" s="4" t="s">
        <v>39</v>
      </c>
      <c r="C16" s="4" t="s">
        <v>36</v>
      </c>
      <c r="D16" s="4">
        <v>20</v>
      </c>
      <c r="E16" s="4">
        <v>300</v>
      </c>
      <c r="F16" s="1"/>
      <c r="G16" s="1"/>
      <c r="H16" s="1"/>
      <c r="I16" s="1"/>
      <c r="J16" s="1"/>
    </row>
    <row r="17" spans="1:10" x14ac:dyDescent="0.3">
      <c r="A17" s="4" t="s">
        <v>6</v>
      </c>
      <c r="B17" s="4" t="s">
        <v>35</v>
      </c>
      <c r="C17" s="4" t="s">
        <v>38</v>
      </c>
      <c r="D17" s="4">
        <v>15</v>
      </c>
      <c r="E17" s="4">
        <v>450</v>
      </c>
      <c r="F17" s="1"/>
      <c r="G17" s="1"/>
      <c r="H17" s="1"/>
      <c r="I17" s="1"/>
      <c r="J17" s="1"/>
    </row>
    <row r="18" spans="1:10" x14ac:dyDescent="0.3">
      <c r="A18" s="4" t="s">
        <v>9</v>
      </c>
      <c r="B18" s="4" t="s">
        <v>33</v>
      </c>
      <c r="C18" s="4" t="s">
        <v>41</v>
      </c>
      <c r="D18" s="4">
        <v>4</v>
      </c>
      <c r="E18" s="4">
        <v>1400</v>
      </c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5" t="s">
        <v>42</v>
      </c>
      <c r="B20" s="1" t="s">
        <v>15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5" t="s">
        <v>44</v>
      </c>
      <c r="B21" s="1" t="str">
        <f>INDEX(C9:C18,MATCH(B20,A9:A18,0))</f>
        <v>Monitor</v>
      </c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5" t="s">
        <v>45</v>
      </c>
      <c r="B22" s="1" t="str">
        <f>INDEX($B$9:$B$18,MATCH(B20,A9:A18,0))</f>
        <v>Oeste</v>
      </c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5" t="s">
        <v>46</v>
      </c>
      <c r="B23" s="1">
        <f>INDEX(D9:D18,MATCH(B20,A9:A18,0))</f>
        <v>8</v>
      </c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5" t="s">
        <v>47</v>
      </c>
      <c r="B24" s="1">
        <f>INDEX(E9:E18,MATCH(B20,A9:A18,0))</f>
        <v>1600</v>
      </c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5" t="s">
        <v>43</v>
      </c>
      <c r="B25" s="1">
        <f>MAX(E9:E18)</f>
        <v>5740</v>
      </c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5" t="s">
        <v>48</v>
      </c>
      <c r="B26" s="1" t="str">
        <f>INDEX(A9:A18,MATCH(MAX(E9:E18,0),E9:E18,0))</f>
        <v>Pedro</v>
      </c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1">
    <mergeCell ref="A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DB54-5707-4E68-9814-271DFFD60495}">
  <dimension ref="A1:G21"/>
  <sheetViews>
    <sheetView tabSelected="1" workbookViewId="0">
      <selection activeCell="F14" sqref="F14"/>
    </sheetView>
  </sheetViews>
  <sheetFormatPr defaultRowHeight="14.4" x14ac:dyDescent="0.3"/>
  <cols>
    <col min="1" max="1" width="28.77734375" bestFit="1" customWidth="1"/>
    <col min="2" max="2" width="15.21875" bestFit="1" customWidth="1"/>
    <col min="3" max="3" width="6.5546875" bestFit="1" customWidth="1"/>
    <col min="4" max="4" width="8.44140625" bestFit="1" customWidth="1"/>
    <col min="5" max="5" width="8.21875" bestFit="1" customWidth="1"/>
    <col min="6" max="6" width="5.21875" bestFit="1" customWidth="1"/>
  </cols>
  <sheetData>
    <row r="1" spans="1:7" ht="15.6" x14ac:dyDescent="0.3">
      <c r="A1" s="9" t="s">
        <v>50</v>
      </c>
      <c r="B1" s="9"/>
      <c r="C1" s="9"/>
      <c r="D1" s="9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0" t="s">
        <v>57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"/>
    </row>
    <row r="4" spans="1:7" x14ac:dyDescent="0.3">
      <c r="A4" s="4">
        <v>1</v>
      </c>
      <c r="B4" s="4" t="s">
        <v>6</v>
      </c>
      <c r="C4" s="4" t="s">
        <v>33</v>
      </c>
      <c r="D4" s="4" t="s">
        <v>34</v>
      </c>
      <c r="E4" s="4">
        <v>5</v>
      </c>
      <c r="F4" s="4">
        <v>4000</v>
      </c>
      <c r="G4" s="1"/>
    </row>
    <row r="5" spans="1:7" x14ac:dyDescent="0.3">
      <c r="A5" s="4">
        <v>2</v>
      </c>
      <c r="B5" s="4" t="s">
        <v>9</v>
      </c>
      <c r="C5" s="4" t="s">
        <v>35</v>
      </c>
      <c r="D5" s="4" t="s">
        <v>36</v>
      </c>
      <c r="E5" s="4">
        <v>30</v>
      </c>
      <c r="F5" s="4">
        <v>450</v>
      </c>
      <c r="G5" s="1"/>
    </row>
    <row r="6" spans="1:7" x14ac:dyDescent="0.3">
      <c r="A6" s="4">
        <v>3</v>
      </c>
      <c r="B6" s="4" t="s">
        <v>12</v>
      </c>
      <c r="C6" s="4" t="s">
        <v>37</v>
      </c>
      <c r="D6" s="4" t="s">
        <v>38</v>
      </c>
      <c r="E6" s="4">
        <v>12</v>
      </c>
      <c r="F6" s="4">
        <v>360</v>
      </c>
      <c r="G6" s="1"/>
    </row>
    <row r="7" spans="1:7" x14ac:dyDescent="0.3">
      <c r="A7" s="4">
        <v>4</v>
      </c>
      <c r="B7" s="4" t="s">
        <v>15</v>
      </c>
      <c r="C7" s="4" t="s">
        <v>39</v>
      </c>
      <c r="D7" s="4" t="s">
        <v>40</v>
      </c>
      <c r="E7" s="4">
        <v>8</v>
      </c>
      <c r="F7" s="4">
        <v>1600</v>
      </c>
      <c r="G7" s="1"/>
    </row>
    <row r="8" spans="1:7" x14ac:dyDescent="0.3">
      <c r="A8" s="4">
        <v>5</v>
      </c>
      <c r="B8" s="4" t="s">
        <v>6</v>
      </c>
      <c r="C8" s="4" t="s">
        <v>33</v>
      </c>
      <c r="D8" s="4" t="s">
        <v>41</v>
      </c>
      <c r="E8" s="4">
        <v>10</v>
      </c>
      <c r="F8" s="4">
        <v>3500</v>
      </c>
      <c r="G8" s="1"/>
    </row>
    <row r="9" spans="1:7" x14ac:dyDescent="0.3">
      <c r="A9" s="4">
        <v>6</v>
      </c>
      <c r="B9" s="4" t="s">
        <v>9</v>
      </c>
      <c r="C9" s="4" t="s">
        <v>35</v>
      </c>
      <c r="D9" s="4" t="s">
        <v>34</v>
      </c>
      <c r="E9" s="4">
        <v>6</v>
      </c>
      <c r="F9" s="4">
        <v>4800</v>
      </c>
      <c r="G9" s="1"/>
    </row>
    <row r="10" spans="1:7" x14ac:dyDescent="0.3">
      <c r="A10" s="4">
        <v>7</v>
      </c>
      <c r="B10" s="4" t="s">
        <v>12</v>
      </c>
      <c r="C10" s="4" t="s">
        <v>37</v>
      </c>
      <c r="D10" s="4" t="s">
        <v>40</v>
      </c>
      <c r="E10" s="4">
        <v>7</v>
      </c>
      <c r="F10" s="4">
        <v>5740</v>
      </c>
      <c r="G10" s="1"/>
    </row>
    <row r="11" spans="1:7" x14ac:dyDescent="0.3">
      <c r="A11" s="4">
        <v>8</v>
      </c>
      <c r="B11" s="4" t="s">
        <v>15</v>
      </c>
      <c r="C11" s="4" t="s">
        <v>39</v>
      </c>
      <c r="D11" s="4" t="s">
        <v>36</v>
      </c>
      <c r="E11" s="4">
        <v>20</v>
      </c>
      <c r="F11" s="4">
        <v>300</v>
      </c>
      <c r="G11" s="1"/>
    </row>
    <row r="12" spans="1:7" x14ac:dyDescent="0.3">
      <c r="A12" s="4">
        <v>9</v>
      </c>
      <c r="B12" s="4" t="s">
        <v>6</v>
      </c>
      <c r="C12" s="4" t="s">
        <v>35</v>
      </c>
      <c r="D12" s="4" t="s">
        <v>38</v>
      </c>
      <c r="E12" s="4">
        <v>15</v>
      </c>
      <c r="F12" s="4">
        <v>450</v>
      </c>
      <c r="G12" s="1"/>
    </row>
    <row r="13" spans="1:7" x14ac:dyDescent="0.3">
      <c r="A13" s="4">
        <v>10</v>
      </c>
      <c r="B13" s="4" t="s">
        <v>9</v>
      </c>
      <c r="C13" s="4" t="s">
        <v>33</v>
      </c>
      <c r="D13" s="4" t="s">
        <v>41</v>
      </c>
      <c r="E13" s="4">
        <v>4</v>
      </c>
      <c r="F13" s="4">
        <v>1400</v>
      </c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1" t="s">
        <v>51</v>
      </c>
      <c r="B16" s="12"/>
      <c r="C16" s="12"/>
      <c r="D16" s="1"/>
      <c r="E16" s="1"/>
      <c r="F16" s="1"/>
      <c r="G16" s="1"/>
    </row>
    <row r="17" spans="1:7" x14ac:dyDescent="0.3">
      <c r="A17" s="5" t="s">
        <v>52</v>
      </c>
      <c r="B17" s="1" t="s">
        <v>6</v>
      </c>
      <c r="C17" s="1"/>
      <c r="D17" s="1"/>
      <c r="E17" s="1"/>
      <c r="F17" s="1"/>
      <c r="G17" s="1"/>
    </row>
    <row r="18" spans="1:7" x14ac:dyDescent="0.3">
      <c r="A18" s="5" t="s">
        <v>53</v>
      </c>
      <c r="B18" s="1" t="s">
        <v>33</v>
      </c>
      <c r="C18" s="1"/>
      <c r="D18" s="1"/>
      <c r="E18" s="1"/>
      <c r="F18" s="1"/>
      <c r="G18" s="1"/>
    </row>
    <row r="19" spans="1:7" x14ac:dyDescent="0.3">
      <c r="A19" s="5" t="s">
        <v>54</v>
      </c>
      <c r="B19" s="1">
        <f t="array" ref="B19">INDEX(F4:F13,MATCH(B17&amp;B18,B4:B13&amp;C4:C13,0))</f>
        <v>4000</v>
      </c>
      <c r="C19" s="1"/>
      <c r="D19" s="1"/>
      <c r="E19" s="1"/>
      <c r="F19" s="1"/>
      <c r="G19" s="1"/>
    </row>
    <row r="20" spans="1:7" x14ac:dyDescent="0.3">
      <c r="A20" s="5" t="s">
        <v>55</v>
      </c>
      <c r="B20" s="1" t="str">
        <f>INDEX(D4:D13,MATCH(5740,F4:F13,0))</f>
        <v>Monitor</v>
      </c>
      <c r="C20" s="1"/>
      <c r="D20" s="1"/>
      <c r="E20" s="1"/>
      <c r="F20" s="1"/>
      <c r="G20" s="1"/>
    </row>
    <row r="21" spans="1:7" x14ac:dyDescent="0.3">
      <c r="A21" s="5" t="s">
        <v>56</v>
      </c>
      <c r="B21" s="1" t="str">
        <f>IFERROR(INDEX(B4:B13,MATCH(999,A4:A13,0)), "ID no encontrado")</f>
        <v>ID no encontrado</v>
      </c>
      <c r="C21" s="1"/>
      <c r="D21" s="1"/>
      <c r="E21" s="1"/>
      <c r="F21" s="1"/>
      <c r="G21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Basico</vt:lpstr>
      <vt:lpstr>Basico-Intermedio</vt:lpstr>
      <vt:lpstr>Intermedio</vt:lpstr>
      <vt:lpstr>Avanzado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2026-07-01T23:43:23Z</dcterms:created>
  <dcterms:modified xsi:type="dcterms:W3CDTF">2026-07-02T00:44:27Z</dcterms:modified>
</cp:coreProperties>
</file>